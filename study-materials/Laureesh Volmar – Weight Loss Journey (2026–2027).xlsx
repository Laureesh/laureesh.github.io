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WorkoutPlan (Update)" sheetId="1" r:id="rId5"/>
    <sheet state="visible" name="Sheet8" sheetId="2" r:id="rId6"/>
  </sheets>
  <definedNames>
    <definedName name="Weight">#REF!</definedName>
  </definedNames>
  <calcPr/>
</workbook>
</file>

<file path=xl/sharedStrings.xml><?xml version="1.0" encoding="utf-8"?>
<sst xmlns="http://schemas.openxmlformats.org/spreadsheetml/2006/main" count="396" uniqueCount="222">
  <si>
    <t>Meal</t>
  </si>
  <si>
    <t>Focus</t>
  </si>
  <si>
    <t>Calories</t>
  </si>
  <si>
    <t>Protein</t>
  </si>
  <si>
    <t>Carbs</t>
  </si>
  <si>
    <t>Fats</t>
  </si>
  <si>
    <t>Meal 1 – Breakfast</t>
  </si>
  <si>
    <t>High-protein, energizing</t>
  </si>
  <si>
    <t>40g</t>
  </si>
  <si>
    <t>15g</t>
  </si>
  <si>
    <t>Meal 2 – Lunch</t>
  </si>
  <si>
    <t>Balanced &amp; filling</t>
  </si>
  <si>
    <t>45g</t>
  </si>
  <si>
    <t>50g</t>
  </si>
  <si>
    <t>Meal 3 – Snack/Pre-Workout</t>
  </si>
  <si>
    <t>Quick fuel</t>
  </si>
  <si>
    <t>25g</t>
  </si>
  <si>
    <t>30g</t>
  </si>
  <si>
    <t>5g</t>
  </si>
  <si>
    <t>Meal 4 – Dinner</t>
  </si>
  <si>
    <t>High-protein, low-carb</t>
  </si>
  <si>
    <t>55g</t>
  </si>
  <si>
    <t>35g</t>
  </si>
  <si>
    <t>20g</t>
  </si>
  <si>
    <t>Meal 5 – Late Snack (optional)</t>
  </si>
  <si>
    <t>Protein-based recovery</t>
  </si>
  <si>
    <t>10g</t>
  </si>
  <si>
    <t>Total</t>
  </si>
  <si>
    <t>2,300 kcal</t>
  </si>
  <si>
    <t>200g</t>
  </si>
  <si>
    <t>180g</t>
  </si>
  <si>
    <t>75g</t>
  </si>
  <si>
    <t>Day</t>
  </si>
  <si>
    <t>Workout Type</t>
  </si>
  <si>
    <t>Exercises</t>
  </si>
  <si>
    <t>Completion</t>
  </si>
  <si>
    <t>Variation</t>
  </si>
  <si>
    <t>Level</t>
  </si>
  <si>
    <t>Pushups</t>
  </si>
  <si>
    <t>PushUp Completion</t>
  </si>
  <si>
    <t>Start Date</t>
  </si>
  <si>
    <t>Full-Body Dumbbell Strength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</si>
  <si>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</si>
  <si>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30 Pushups</t>
  </si>
  <si>
    <t>Cardio + Core Conditioning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</si>
  <si>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</si>
  <si>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t>2 Sets of 50 Pushups</t>
  </si>
  <si>
    <t>Dumbbell Upper + Yoga Mobility</t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</si>
  <si>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</si>
  <si>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50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</si>
  <si>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</si>
  <si>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20 Pushups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</si>
  <si>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</si>
  <si>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</si>
  <si>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40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</si>
  <si>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</si>
  <si>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</si>
  <si>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</si>
  <si>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35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</si>
  <si>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</si>
  <si>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10 Pushups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</si>
  <si>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</si>
  <si>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</si>
  <si>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30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</si>
  <si>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</si>
  <si>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5 Pushups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</si>
  <si>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</si>
  <si>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t>2 Sets of 15 Pushups</t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</si>
  <si>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</si>
  <si>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25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</si>
  <si>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</si>
  <si>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</si>
  <si>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</si>
  <si>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3 Sets of 20 Pushups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</si>
  <si>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</si>
  <si>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5 Pushups (Per Side)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</si>
  <si>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</si>
  <si>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t>2 Sets of 10 Pushups (Per Side)</t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</si>
  <si>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</si>
  <si>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2 Sets of 20 Pushups (Per Side)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</si>
  <si>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</si>
  <si>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</si>
  <si>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t>2 Sets of 9 Pushups (Per Side)</t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</si>
  <si>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</si>
  <si>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t>2 Sets of 12 Pushups (Per Side)</t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</si>
  <si>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</si>
  <si>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</si>
  <si>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</si>
  <si>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</si>
  <si>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t>2 Sets of 3 Pushups (Per Side)</t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</si>
  <si>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</si>
  <si>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t>2 Sets of 6 Pushups (Per Side)</t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</si>
  <si>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</si>
  <si>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</si>
  <si>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</si>
  <si>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</si>
  <si>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</si>
  <si>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</si>
  <si>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</si>
  <si>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</si>
  <si>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</si>
  <si>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</si>
  <si>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</si>
  <si>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</si>
  <si>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</si>
  <si>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</si>
  <si>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</si>
  <si>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</si>
  <si>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</si>
  <si>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</si>
  <si>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</si>
  <si>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</si>
  <si>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</si>
  <si>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</si>
  <si>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</si>
  <si>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</si>
  <si>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</si>
  <si>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</si>
  <si>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</si>
  <si>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</si>
  <si>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</si>
  <si>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</si>
  <si>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</si>
  <si>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</si>
  <si>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</si>
  <si>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</si>
  <si>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</si>
  <si>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</si>
  <si>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</si>
  <si>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</si>
  <si>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</si>
  <si>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</si>
  <si>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</si>
  <si>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</si>
  <si>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</si>
  <si>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</si>
  <si>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</si>
  <si>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</si>
  <si>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</si>
  <si>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</si>
  <si>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</si>
  <si>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</si>
  <si>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</si>
  <si>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</si>
  <si>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</si>
  <si>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</si>
  <si>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</si>
  <si>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</si>
  <si>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</si>
  <si>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</si>
  <si>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</si>
  <si>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</si>
  <si>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</si>
  <si>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</si>
  <si>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</si>
  <si>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</si>
  <si>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</si>
  <si>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</si>
  <si>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</si>
  <si>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</si>
  <si>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</si>
  <si>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</si>
  <si>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</si>
  <si>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</si>
  <si>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</si>
  <si>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</si>
  <si>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</si>
  <si>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</si>
  <si>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</si>
  <si>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</si>
  <si>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</si>
  <si>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</si>
  <si>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</si>
  <si>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</si>
  <si>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</si>
  <si>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</si>
  <si>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</si>
  <si>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</si>
  <si>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</si>
  <si>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</si>
  <si>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</si>
  <si>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</si>
  <si>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</si>
  <si>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</si>
  <si>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</si>
  <si>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</si>
  <si>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</si>
  <si>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</si>
  <si>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</si>
  <si>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</si>
  <si>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</si>
  <si>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</si>
  <si>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</si>
  <si>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</si>
  <si>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</si>
  <si>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</si>
  <si>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</si>
  <si>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</si>
  <si>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</si>
  <si>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</si>
  <si>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</si>
  <si>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</si>
  <si>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</si>
  <si>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</si>
  <si>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</si>
  <si>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</si>
  <si>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</si>
  <si>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</si>
  <si>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</si>
  <si>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</si>
  <si>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</si>
  <si>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</si>
  <si>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</si>
  <si>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</si>
  <si>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</si>
  <si>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</si>
  <si>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</si>
  <si>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</si>
  <si>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</si>
  <si>
    <r>
      <rPr>
        <b/>
        <color rgb="FF1155CC"/>
        <sz val="10.0"/>
        <u/>
      </rPr>
      <t>20 Min Full Body</t>
    </r>
    <r>
      <rPr>
        <b/>
        <sz val="10.0"/>
      </rPr>
      <t xml:space="preserve"> 
</t>
    </r>
    <r>
      <rPr>
        <b/>
        <color rgb="FF1155CC"/>
        <sz val="10.0"/>
        <u/>
      </rPr>
      <t>Plank Hold (30 or more)</t>
    </r>
  </si>
  <si>
    <r>
      <rPr>
        <b/>
        <sz val="10.0"/>
      </rPr>
      <t xml:space="preserve">60–90 min Ride (10 – 15 miles) 
</t>
    </r>
    <r>
      <rPr>
        <b/>
        <color rgb="FF1155CC"/>
        <sz val="10.0"/>
        <u/>
      </rPr>
      <t>10 Min Dumbbell Standing Abs</t>
    </r>
    <r>
      <rPr>
        <b/>
        <sz val="10.0"/>
      </rPr>
      <t xml:space="preserve"> 
</t>
    </r>
    <r>
      <rPr>
        <b/>
        <i/>
        <color rgb="FF1155CC"/>
        <sz val="10.0"/>
        <u/>
      </rPr>
      <t>Russian Twists (10per side/30s rest)</t>
    </r>
    <r>
      <rPr>
        <b/>
        <sz val="10.0"/>
      </rPr>
      <t xml:space="preserve"> 
</t>
    </r>
    <r>
      <rPr>
        <b/>
        <color rgb="FF1155CC"/>
        <sz val="10.0"/>
        <u/>
      </rPr>
      <t xml:space="preserve">Leg Raises (15 reps/30s rest)
</t>
    </r>
    <r>
      <rPr>
        <b/>
        <i/>
        <color rgb="FF1155CC"/>
        <sz val="10.0"/>
        <u/>
      </rPr>
      <t>Flutter Kicks (30s/30s rest)</t>
    </r>
  </si>
  <si>
    <r>
      <rPr>
        <b/>
        <color rgb="FF1155CC"/>
        <sz val="10.0"/>
        <u/>
      </rPr>
      <t>20 Min Upper Body Dumbbell Workout At Home</t>
    </r>
    <r>
      <rPr>
        <b/>
        <sz val="10.0"/>
      </rPr>
      <t xml:space="preserve"> 
</t>
    </r>
    <r>
      <rPr>
        <b/>
        <color rgb="FF1155CC"/>
        <sz val="10.0"/>
        <u/>
      </rPr>
      <t>20 Min Yoga Routine for Athletes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</si>
</sst>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Level&quot; 0"/>
  </numFmts>
  <fonts count="11">
    <font>
      <sz val="10.0"/>
      <color rgb="FF000000"/>
      <name val="Roboto"/>
      <scheme val="minor"/>
    </font>
    <font>
      <b/>
      <sz val="15.0"/>
      <color theme="1"/>
      <name val="Roboto"/>
      <scheme val="minor"/>
    </font>
    <font>
      <color theme="1"/>
      <name val="Roboto"/>
      <scheme val="minor"/>
    </font>
    <font>
      <sz val="15.0"/>
      <color theme="1"/>
      <name val="Roboto"/>
      <scheme val="minor"/>
    </font>
    <font>
      <b/>
      <sz val="13.0"/>
      <color theme="1"/>
      <name val="Roboto"/>
      <scheme val="minor"/>
    </font>
    <font>
      <b/>
      <sz val="13.0"/>
      <color rgb="FFFFFFFF"/>
      <name val="Roboto"/>
      <scheme val="minor"/>
    </font>
    <font>
      <b/>
      <sz val="15.0"/>
      <color theme="1"/>
      <name val="Google Sans Mono"/>
    </font>
    <font>
      <b/>
      <u/>
      <sz val="10.0"/>
      <color rgb="FF0000FF"/>
      <name val="Roboto"/>
    </font>
    <font>
      <b/>
      <u/>
      <sz val="12.0"/>
      <color rgb="FF0000FF"/>
      <name val="Roboto"/>
    </font>
    <font>
      <b/>
      <sz val="17.0"/>
      <color theme="1"/>
      <name val="Roboto"/>
      <scheme val="minor"/>
    </font>
    <font>
      <b/>
      <u/>
      <sz val="12.0"/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5" fontId="6" numFmtId="164" xfId="0" applyAlignment="1" applyFill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left" readingOrder="0" shrinkToFit="0" vertical="center" wrapText="1"/>
    </xf>
    <xf borderId="0" fillId="6" fontId="7" numFmtId="0" xfId="0" applyAlignment="1" applyFill="1" applyFont="1">
      <alignment horizontal="left" readingOrder="0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8" fontId="9" numFmtId="165" xfId="0" applyAlignment="1" applyFill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5" fontId="6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9" fontId="9" numFmtId="165" xfId="0" applyAlignment="1" applyFill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left" readingOrder="0" shrinkToFit="0" vertical="center" wrapText="1"/>
    </xf>
    <xf borderId="0" fillId="10" fontId="9" numFmtId="165" xfId="0" applyAlignment="1" applyFill="1" applyFont="1" applyNumberFormat="1">
      <alignment horizontal="center" readingOrder="0" shrinkToFit="0" vertical="center" wrapText="1"/>
    </xf>
    <xf borderId="0" fillId="10" fontId="2" numFmtId="0" xfId="0" applyAlignment="1" applyFill="1" applyFont="1">
      <alignment horizontal="left" readingOrder="0" shrinkToFit="0" vertical="center" wrapText="1"/>
    </xf>
    <xf borderId="0" fillId="5" fontId="10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B98E9"/>
          <bgColor rgb="FF6B98E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B98E9"/>
        </left>
        <right style="thin">
          <color rgb="FF6B98E9"/>
        </right>
        <top style="thin">
          <color rgb="FF6B98E9"/>
        </top>
        <bottom style="thin">
          <color rgb="FF6B98E9"/>
        </bottom>
        <vertical style="thin">
          <color rgb="FFD4D4D4"/>
        </vertical>
        <horizontal style="thin">
          <color rgb="FFD4D4D4"/>
        </horizontal>
      </border>
    </dxf>
    <dxf>
      <font>
        <strike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WeeklyWorkoutPlan (Update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0" displayName="Table1" name="Table1" id="1">
  <tableColumns count="8">
    <tableColumn name="Day" id="1"/>
    <tableColumn name="Workout Type" id="2"/>
    <tableColumn name="Exercises" id="3"/>
    <tableColumn name="Completion" id="4"/>
    <tableColumn name="Variation" id="5"/>
    <tableColumn name="Level" id="6"/>
    <tableColumn name="Pushups" id="7"/>
    <tableColumn name="PushUp Completion" id="8"/>
  </tableColumns>
  <tableStyleInfo name="WeeklyWorkoutPlan (Update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C853"/>
      </a:accent1>
      <a:accent2>
        <a:srgbClr val="FF9100"/>
      </a:accent2>
      <a:accent3>
        <a:srgbClr val="D50000"/>
      </a:accent3>
      <a:accent4>
        <a:srgbClr val="2962FF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u1My2n961KM&amp;pp=ygUrRnVsbC1Cb2R5IER1bWJiZWxsIFN0cmVuZ3RoIHdvcmtvdXQgYXQgaG9tZQ%3D%3D" TargetMode="External"/><Relationship Id="rId42" Type="http://schemas.openxmlformats.org/officeDocument/2006/relationships/hyperlink" Target="https://www.youtube.com/watch?v=kNRVHfT7-_M&amp;t=197s&amp;pp=ygUjZHVtYmJlbGwgdXBwZXIgYm9keSB3b3Jrb3V0IGF0IGhvbWU%3D" TargetMode="External"/><Relationship Id="rId41" Type="http://schemas.openxmlformats.org/officeDocument/2006/relationships/hyperlink" Target="https://www.youtube.com/watch?v=9wlr8x0Iukg" TargetMode="External"/><Relationship Id="rId44" Type="http://schemas.openxmlformats.org/officeDocument/2006/relationships/hyperlink" Target="https://www.youtube.com/watch?v=9wlr8x0Iukg" TargetMode="External"/><Relationship Id="rId43" Type="http://schemas.openxmlformats.org/officeDocument/2006/relationships/hyperlink" Target="https://www.youtube.com/watch?v=u1My2n961KM&amp;pp=ygUrRnVsbC1Cb2R5IER1bWJiZWxsIFN0cmVuZ3RoIHdvcmtvdXQgYXQgaG9tZQ%3D%3D" TargetMode="External"/><Relationship Id="rId46" Type="http://schemas.openxmlformats.org/officeDocument/2006/relationships/hyperlink" Target="https://www.youtube.com/watch?v=u1My2n961KM&amp;pp=ygUrRnVsbC1Cb2R5IER1bWJiZWxsIFN0cmVuZ3RoIHdvcmtvdXQgYXQgaG9tZQ%3D%3D" TargetMode="External"/><Relationship Id="rId45" Type="http://schemas.openxmlformats.org/officeDocument/2006/relationships/hyperlink" Target="https://www.youtube.com/watch?v=kNRVHfT7-_M&amp;t=197s&amp;pp=ygUjZHVtYmJlbGwgdXBwZXIgYm9keSB3b3Jrb3V0IGF0IGhvbWU%3D" TargetMode="External"/><Relationship Id="rId107" Type="http://schemas.openxmlformats.org/officeDocument/2006/relationships/hyperlink" Target="https://www.youtube.com/watch?v=9wlr8x0Iukg" TargetMode="External"/><Relationship Id="rId106" Type="http://schemas.openxmlformats.org/officeDocument/2006/relationships/hyperlink" Target="https://www.youtube.com/watch?v=u1My2n961KM&amp;pp=ygUrRnVsbC1Cb2R5IER1bWJiZWxsIFN0cmVuZ3RoIHdvcmtvdXQgYXQgaG9tZQ%3D%3D" TargetMode="External"/><Relationship Id="rId105" Type="http://schemas.openxmlformats.org/officeDocument/2006/relationships/hyperlink" Target="https://www.youtube.com/watch?v=kNRVHfT7-_M&amp;t=197s&amp;pp=ygUjZHVtYmJlbGwgdXBwZXIgYm9keSB3b3Jrb3V0IGF0IGhvbWU%3D" TargetMode="External"/><Relationship Id="rId104" Type="http://schemas.openxmlformats.org/officeDocument/2006/relationships/hyperlink" Target="https://www.youtube.com/watch?v=9wlr8x0Iukg" TargetMode="External"/><Relationship Id="rId109" Type="http://schemas.openxmlformats.org/officeDocument/2006/relationships/hyperlink" Target="https://www.youtube.com/watch?v=u1My2n961KM&amp;pp=ygUrRnVsbC1Cb2R5IER1bWJiZWxsIFN0cmVuZ3RoIHdvcmtvdXQgYXQgaG9tZQ%3D%3D" TargetMode="External"/><Relationship Id="rId108" Type="http://schemas.openxmlformats.org/officeDocument/2006/relationships/hyperlink" Target="https://www.youtube.com/watch?v=kNRVHfT7-_M&amp;t=197s&amp;pp=ygUjZHVtYmJlbGwgdXBwZXIgYm9keSB3b3Jrb3V0IGF0IGhvbWU%3D" TargetMode="External"/><Relationship Id="rId48" Type="http://schemas.openxmlformats.org/officeDocument/2006/relationships/hyperlink" Target="https://www.youtube.com/watch?v=kNRVHfT7-_M&amp;t=197s&amp;pp=ygUjZHVtYmJlbGwgdXBwZXIgYm9keSB3b3Jrb3V0IGF0IGhvbWU%3D" TargetMode="External"/><Relationship Id="rId47" Type="http://schemas.openxmlformats.org/officeDocument/2006/relationships/hyperlink" Target="https://www.youtube.com/watch?v=9wlr8x0Iukg" TargetMode="External"/><Relationship Id="rId49" Type="http://schemas.openxmlformats.org/officeDocument/2006/relationships/hyperlink" Target="https://www.youtube.com/watch?v=u1My2n961KM&amp;pp=ygUrRnVsbC1Cb2R5IER1bWJiZWxsIFN0cmVuZ3RoIHdvcmtvdXQgYXQgaG9tZQ%3D%3D" TargetMode="External"/><Relationship Id="rId103" Type="http://schemas.openxmlformats.org/officeDocument/2006/relationships/hyperlink" Target="https://www.youtube.com/watch?v=u1My2n961KM&amp;pp=ygUrRnVsbC1Cb2R5IER1bWJiZWxsIFN0cmVuZ3RoIHdvcmtvdXQgYXQgaG9tZQ%3D%3D" TargetMode="External"/><Relationship Id="rId102" Type="http://schemas.openxmlformats.org/officeDocument/2006/relationships/hyperlink" Target="https://www.youtube.com/watch?v=kNRVHfT7-_M&amp;t=197s&amp;pp=ygUjZHVtYmJlbGwgdXBwZXIgYm9keSB3b3Jrb3V0IGF0IGhvbWU%3D" TargetMode="External"/><Relationship Id="rId101" Type="http://schemas.openxmlformats.org/officeDocument/2006/relationships/hyperlink" Target="https://www.youtube.com/watch?v=9wlr8x0Iukg" TargetMode="External"/><Relationship Id="rId100" Type="http://schemas.openxmlformats.org/officeDocument/2006/relationships/hyperlink" Target="https://www.youtube.com/watch?v=u1My2n961KM&amp;pp=ygUrRnVsbC1Cb2R5IER1bWJiZWxsIFN0cmVuZ3RoIHdvcmtvdXQgYXQgaG9tZQ%3D%3D" TargetMode="External"/><Relationship Id="rId31" Type="http://schemas.openxmlformats.org/officeDocument/2006/relationships/hyperlink" Target="https://www.youtube.com/watch?v=u1My2n961KM&amp;pp=ygUrRnVsbC1Cb2R5IER1bWJiZWxsIFN0cmVuZ3RoIHdvcmtvdXQgYXQgaG9tZQ%3D%3D" TargetMode="External"/><Relationship Id="rId30" Type="http://schemas.openxmlformats.org/officeDocument/2006/relationships/hyperlink" Target="https://www.youtube.com/watch?v=kNRVHfT7-_M&amp;t=197s&amp;pp=ygUjZHVtYmJlbGwgdXBwZXIgYm9keSB3b3Jrb3V0IGF0IGhvbWU%3D" TargetMode="External"/><Relationship Id="rId33" Type="http://schemas.openxmlformats.org/officeDocument/2006/relationships/hyperlink" Target="https://www.youtube.com/watch?v=kNRVHfT7-_M&amp;t=197s&amp;pp=ygUjZHVtYmJlbGwgdXBwZXIgYm9keSB3b3Jrb3V0IGF0IGhvbWU%3D" TargetMode="External"/><Relationship Id="rId32" Type="http://schemas.openxmlformats.org/officeDocument/2006/relationships/hyperlink" Target="https://www.youtube.com/watch?v=9wlr8x0Iukg" TargetMode="External"/><Relationship Id="rId35" Type="http://schemas.openxmlformats.org/officeDocument/2006/relationships/hyperlink" Target="https://www.youtube.com/watch?v=9wlr8x0Iukg" TargetMode="External"/><Relationship Id="rId34" Type="http://schemas.openxmlformats.org/officeDocument/2006/relationships/hyperlink" Target="https://www.youtube.com/watch?v=u1My2n961KM&amp;pp=ygUrRnVsbC1Cb2R5IER1bWJiZWxsIFN0cmVuZ3RoIHdvcmtvdXQgYXQgaG9tZQ%3D%3D" TargetMode="External"/><Relationship Id="rId37" Type="http://schemas.openxmlformats.org/officeDocument/2006/relationships/hyperlink" Target="https://www.youtube.com/watch?v=u1My2n961KM&amp;pp=ygUrRnVsbC1Cb2R5IER1bWJiZWxsIFN0cmVuZ3RoIHdvcmtvdXQgYXQgaG9tZQ%3D%3D" TargetMode="External"/><Relationship Id="rId36" Type="http://schemas.openxmlformats.org/officeDocument/2006/relationships/hyperlink" Target="https://www.youtube.com/watch?v=kNRVHfT7-_M&amp;t=197s&amp;pp=ygUjZHVtYmJlbGwgdXBwZXIgYm9keSB3b3Jrb3V0IGF0IGhvbWU%3D" TargetMode="External"/><Relationship Id="rId39" Type="http://schemas.openxmlformats.org/officeDocument/2006/relationships/hyperlink" Target="https://www.youtube.com/watch?v=kNRVHfT7-_M&amp;t=197s&amp;pp=ygUjZHVtYmJlbGwgdXBwZXIgYm9keSB3b3Jrb3V0IGF0IGhvbWU%3D" TargetMode="External"/><Relationship Id="rId38" Type="http://schemas.openxmlformats.org/officeDocument/2006/relationships/hyperlink" Target="https://www.youtube.com/watch?v=9wlr8x0Iukg" TargetMode="External"/><Relationship Id="rId20" Type="http://schemas.openxmlformats.org/officeDocument/2006/relationships/hyperlink" Target="https://www.youtube.com/watch?v=9wlr8x0Iukg" TargetMode="External"/><Relationship Id="rId22" Type="http://schemas.openxmlformats.org/officeDocument/2006/relationships/hyperlink" Target="https://www.youtube.com/watch?v=u1My2n961KM&amp;pp=ygUrRnVsbC1Cb2R5IER1bWJiZWxsIFN0cmVuZ3RoIHdvcmtvdXQgYXQgaG9tZQ%3D%3D" TargetMode="External"/><Relationship Id="rId21" Type="http://schemas.openxmlformats.org/officeDocument/2006/relationships/hyperlink" Target="https://www.youtube.com/watch?v=kNRVHfT7-_M&amp;t=197s&amp;pp=ygUjZHVtYmJlbGwgdXBwZXIgYm9keSB3b3Jrb3V0IGF0IGhvbWU%3D" TargetMode="External"/><Relationship Id="rId24" Type="http://schemas.openxmlformats.org/officeDocument/2006/relationships/hyperlink" Target="https://www.youtube.com/watch?v=kNRVHfT7-_M&amp;t=197s&amp;pp=ygUjZHVtYmJlbGwgdXBwZXIgYm9keSB3b3Jrb3V0IGF0IGhvbWU%3D" TargetMode="External"/><Relationship Id="rId23" Type="http://schemas.openxmlformats.org/officeDocument/2006/relationships/hyperlink" Target="https://www.youtube.com/watch?v=9wlr8x0Iukg" TargetMode="External"/><Relationship Id="rId129" Type="http://schemas.openxmlformats.org/officeDocument/2006/relationships/hyperlink" Target="https://www.youtube.com/watch?v=kNRVHfT7-_M&amp;t=197s&amp;pp=ygUjZHVtYmJlbGwgdXBwZXIgYm9keSB3b3Jrb3V0IGF0IGhvbWU%3D" TargetMode="External"/><Relationship Id="rId128" Type="http://schemas.openxmlformats.org/officeDocument/2006/relationships/hyperlink" Target="https://www.youtube.com/watch?v=9wlr8x0Iukg" TargetMode="External"/><Relationship Id="rId127" Type="http://schemas.openxmlformats.org/officeDocument/2006/relationships/hyperlink" Target="https://www.youtube.com/watch?v=u1My2n961KM&amp;pp=ygUrRnVsbC1Cb2R5IER1bWJiZWxsIFN0cmVuZ3RoIHdvcmtvdXQgYXQgaG9tZQ%3D%3D" TargetMode="External"/><Relationship Id="rId126" Type="http://schemas.openxmlformats.org/officeDocument/2006/relationships/hyperlink" Target="https://www.youtube.com/watch?v=kNRVHfT7-_M&amp;t=197s&amp;pp=ygUjZHVtYmJlbGwgdXBwZXIgYm9keSB3b3Jrb3V0IGF0IGhvbWU%3D" TargetMode="External"/><Relationship Id="rId26" Type="http://schemas.openxmlformats.org/officeDocument/2006/relationships/hyperlink" Target="https://www.youtube.com/watch?v=9wlr8x0Iukg" TargetMode="External"/><Relationship Id="rId121" Type="http://schemas.openxmlformats.org/officeDocument/2006/relationships/hyperlink" Target="https://www.youtube.com/watch?v=u1My2n961KM&amp;pp=ygUrRnVsbC1Cb2R5IER1bWJiZWxsIFN0cmVuZ3RoIHdvcmtvdXQgYXQgaG9tZQ%3D%3D" TargetMode="External"/><Relationship Id="rId25" Type="http://schemas.openxmlformats.org/officeDocument/2006/relationships/hyperlink" Target="https://www.youtube.com/watch?v=u1My2n961KM&amp;pp=ygUrRnVsbC1Cb2R5IER1bWJiZWxsIFN0cmVuZ3RoIHdvcmtvdXQgYXQgaG9tZQ%3D%3D" TargetMode="External"/><Relationship Id="rId120" Type="http://schemas.openxmlformats.org/officeDocument/2006/relationships/hyperlink" Target="https://www.youtube.com/watch?v=kNRVHfT7-_M&amp;t=197s&amp;pp=ygUjZHVtYmJlbGwgdXBwZXIgYm9keSB3b3Jrb3V0IGF0IGhvbWU%3D" TargetMode="External"/><Relationship Id="rId28" Type="http://schemas.openxmlformats.org/officeDocument/2006/relationships/hyperlink" Target="https://www.youtube.com/watch?v=u1My2n961KM&amp;pp=ygUrRnVsbC1Cb2R5IER1bWJiZWxsIFN0cmVuZ3RoIHdvcmtvdXQgYXQgaG9tZQ%3D%3D" TargetMode="External"/><Relationship Id="rId27" Type="http://schemas.openxmlformats.org/officeDocument/2006/relationships/hyperlink" Target="https://www.youtube.com/watch?v=kNRVHfT7-_M&amp;t=197s&amp;pp=ygUjZHVtYmJlbGwgdXBwZXIgYm9keSB3b3Jrb3V0IGF0IGhvbWU%3D" TargetMode="External"/><Relationship Id="rId125" Type="http://schemas.openxmlformats.org/officeDocument/2006/relationships/hyperlink" Target="https://www.youtube.com/watch?v=9wlr8x0Iukg" TargetMode="External"/><Relationship Id="rId29" Type="http://schemas.openxmlformats.org/officeDocument/2006/relationships/hyperlink" Target="https://www.youtube.com/watch?v=9wlr8x0Iukg" TargetMode="External"/><Relationship Id="rId124" Type="http://schemas.openxmlformats.org/officeDocument/2006/relationships/hyperlink" Target="https://www.youtube.com/watch?v=u1My2n961KM&amp;pp=ygUrRnVsbC1Cb2R5IER1bWJiZWxsIFN0cmVuZ3RoIHdvcmtvdXQgYXQgaG9tZQ%3D%3D" TargetMode="External"/><Relationship Id="rId123" Type="http://schemas.openxmlformats.org/officeDocument/2006/relationships/hyperlink" Target="https://www.youtube.com/watch?v=kNRVHfT7-_M&amp;t=197s&amp;pp=ygUjZHVtYmJlbGwgdXBwZXIgYm9keSB3b3Jrb3V0IGF0IGhvbWU%3D" TargetMode="External"/><Relationship Id="rId122" Type="http://schemas.openxmlformats.org/officeDocument/2006/relationships/hyperlink" Target="https://www.youtube.com/watch?v=9wlr8x0Iukg" TargetMode="External"/><Relationship Id="rId95" Type="http://schemas.openxmlformats.org/officeDocument/2006/relationships/hyperlink" Target="https://www.youtube.com/watch?v=9wlr8x0Iukg" TargetMode="External"/><Relationship Id="rId94" Type="http://schemas.openxmlformats.org/officeDocument/2006/relationships/hyperlink" Target="https://www.youtube.com/watch?v=u1My2n961KM&amp;pp=ygUrRnVsbC1Cb2R5IER1bWJiZWxsIFN0cmVuZ3RoIHdvcmtvdXQgYXQgaG9tZQ%3D%3D" TargetMode="External"/><Relationship Id="rId97" Type="http://schemas.openxmlformats.org/officeDocument/2006/relationships/hyperlink" Target="https://www.youtube.com/watch?v=u1My2n961KM&amp;pp=ygUrRnVsbC1Cb2R5IER1bWJiZWxsIFN0cmVuZ3RoIHdvcmtvdXQgYXQgaG9tZQ%3D%3D" TargetMode="External"/><Relationship Id="rId96" Type="http://schemas.openxmlformats.org/officeDocument/2006/relationships/hyperlink" Target="https://www.youtube.com/watch?v=kNRVHfT7-_M&amp;t=197s&amp;pp=ygUjZHVtYmJlbGwgdXBwZXIgYm9keSB3b3Jrb3V0IGF0IGhvbWU%3D" TargetMode="External"/><Relationship Id="rId11" Type="http://schemas.openxmlformats.org/officeDocument/2006/relationships/hyperlink" Target="https://www.youtube.com/watch?v=9wlr8x0Iukg" TargetMode="External"/><Relationship Id="rId99" Type="http://schemas.openxmlformats.org/officeDocument/2006/relationships/hyperlink" Target="https://www.youtube.com/watch?v=kNRVHfT7-_M&amp;t=197s&amp;pp=ygUjZHVtYmJlbGwgdXBwZXIgYm9keSB3b3Jrb3V0IGF0IGhvbWU%3D" TargetMode="External"/><Relationship Id="rId10" Type="http://schemas.openxmlformats.org/officeDocument/2006/relationships/hyperlink" Target="https://www.youtube.com/watch?v=u1My2n961KM&amp;pp=ygUrRnVsbC1Cb2R5IER1bWJiZWxsIFN0cmVuZ3RoIHdvcmtvdXQgYXQgaG9tZQ%3D%3D" TargetMode="External"/><Relationship Id="rId98" Type="http://schemas.openxmlformats.org/officeDocument/2006/relationships/hyperlink" Target="https://www.youtube.com/watch?v=9wlr8x0Iukg" TargetMode="External"/><Relationship Id="rId13" Type="http://schemas.openxmlformats.org/officeDocument/2006/relationships/hyperlink" Target="https://www.youtube.com/watch?v=u1My2n961KM&amp;pp=ygUrRnVsbC1Cb2R5IER1bWJiZWxsIFN0cmVuZ3RoIHdvcmtvdXQgYXQgaG9tZQ%3D%3D" TargetMode="External"/><Relationship Id="rId12" Type="http://schemas.openxmlformats.org/officeDocument/2006/relationships/hyperlink" Target="https://www.youtube.com/watch?v=kNRVHfT7-_M&amp;t=197s&amp;pp=ygUjZHVtYmJlbGwgdXBwZXIgYm9keSB3b3Jrb3V0IGF0IGhvbWU%3D" TargetMode="External"/><Relationship Id="rId91" Type="http://schemas.openxmlformats.org/officeDocument/2006/relationships/hyperlink" Target="https://www.youtube.com/watch?v=u1My2n961KM&amp;pp=ygUrRnVsbC1Cb2R5IER1bWJiZWxsIFN0cmVuZ3RoIHdvcmtvdXQgYXQgaG9tZQ%3D%3D" TargetMode="External"/><Relationship Id="rId90" Type="http://schemas.openxmlformats.org/officeDocument/2006/relationships/hyperlink" Target="https://www.youtube.com/watch?v=kNRVHfT7-_M&amp;t=197s&amp;pp=ygUjZHVtYmJlbGwgdXBwZXIgYm9keSB3b3Jrb3V0IGF0IGhvbWU%3D" TargetMode="External"/><Relationship Id="rId93" Type="http://schemas.openxmlformats.org/officeDocument/2006/relationships/hyperlink" Target="https://www.youtube.com/watch?v=kNRVHfT7-_M&amp;t=197s&amp;pp=ygUjZHVtYmJlbGwgdXBwZXIgYm9keSB3b3Jrb3V0IGF0IGhvbWU%3D" TargetMode="External"/><Relationship Id="rId92" Type="http://schemas.openxmlformats.org/officeDocument/2006/relationships/hyperlink" Target="https://www.youtube.com/watch?v=9wlr8x0Iukg" TargetMode="External"/><Relationship Id="rId118" Type="http://schemas.openxmlformats.org/officeDocument/2006/relationships/hyperlink" Target="https://www.youtube.com/watch?v=u1My2n961KM&amp;pp=ygUrRnVsbC1Cb2R5IER1bWJiZWxsIFN0cmVuZ3RoIHdvcmtvdXQgYXQgaG9tZQ%3D%3D" TargetMode="External"/><Relationship Id="rId117" Type="http://schemas.openxmlformats.org/officeDocument/2006/relationships/hyperlink" Target="https://www.youtube.com/watch?v=kNRVHfT7-_M&amp;t=197s&amp;pp=ygUjZHVtYmJlbGwgdXBwZXIgYm9keSB3b3Jrb3V0IGF0IGhvbWU%3D" TargetMode="External"/><Relationship Id="rId116" Type="http://schemas.openxmlformats.org/officeDocument/2006/relationships/hyperlink" Target="https://www.youtube.com/watch?v=9wlr8x0Iukg" TargetMode="External"/><Relationship Id="rId115" Type="http://schemas.openxmlformats.org/officeDocument/2006/relationships/hyperlink" Target="https://www.youtube.com/watch?v=u1My2n961KM&amp;pp=ygUrRnVsbC1Cb2R5IER1bWJiZWxsIFN0cmVuZ3RoIHdvcmtvdXQgYXQgaG9tZQ%3D%3D" TargetMode="External"/><Relationship Id="rId119" Type="http://schemas.openxmlformats.org/officeDocument/2006/relationships/hyperlink" Target="https://www.youtube.com/watch?v=9wlr8x0Iukg" TargetMode="External"/><Relationship Id="rId15" Type="http://schemas.openxmlformats.org/officeDocument/2006/relationships/hyperlink" Target="https://www.youtube.com/watch?v=kNRVHfT7-_M&amp;t=197s&amp;pp=ygUjZHVtYmJlbGwgdXBwZXIgYm9keSB3b3Jrb3V0IGF0IGhvbWU%3D" TargetMode="External"/><Relationship Id="rId110" Type="http://schemas.openxmlformats.org/officeDocument/2006/relationships/hyperlink" Target="https://www.youtube.com/watch?v=9wlr8x0Iukg" TargetMode="External"/><Relationship Id="rId14" Type="http://schemas.openxmlformats.org/officeDocument/2006/relationships/hyperlink" Target="https://www.youtube.com/watch?v=9wlr8x0Iukg" TargetMode="External"/><Relationship Id="rId17" Type="http://schemas.openxmlformats.org/officeDocument/2006/relationships/hyperlink" Target="https://www.youtube.com/watch?v=9wlr8x0Iukg" TargetMode="External"/><Relationship Id="rId16" Type="http://schemas.openxmlformats.org/officeDocument/2006/relationships/hyperlink" Target="https://www.youtube.com/watch?v=u1My2n961KM&amp;pp=ygUrRnVsbC1Cb2R5IER1bWJiZWxsIFN0cmVuZ3RoIHdvcmtvdXQgYXQgaG9tZQ%3D%3D" TargetMode="External"/><Relationship Id="rId19" Type="http://schemas.openxmlformats.org/officeDocument/2006/relationships/hyperlink" Target="https://www.youtube.com/watch?v=u1My2n961KM&amp;pp=ygUrRnVsbC1Cb2R5IER1bWJiZWxsIFN0cmVuZ3RoIHdvcmtvdXQgYXQgaG9tZQ%3D%3D" TargetMode="External"/><Relationship Id="rId114" Type="http://schemas.openxmlformats.org/officeDocument/2006/relationships/hyperlink" Target="https://www.youtube.com/watch?v=kNRVHfT7-_M&amp;t=197s&amp;pp=ygUjZHVtYmJlbGwgdXBwZXIgYm9keSB3b3Jrb3V0IGF0IGhvbWU%3D" TargetMode="External"/><Relationship Id="rId18" Type="http://schemas.openxmlformats.org/officeDocument/2006/relationships/hyperlink" Target="https://www.youtube.com/watch?v=kNRVHfT7-_M&amp;t=197s&amp;pp=ygUjZHVtYmJlbGwgdXBwZXIgYm9keSB3b3Jrb3V0IGF0IGhvbWU%3D" TargetMode="External"/><Relationship Id="rId113" Type="http://schemas.openxmlformats.org/officeDocument/2006/relationships/hyperlink" Target="https://www.youtube.com/watch?v=9wlr8x0Iukg" TargetMode="External"/><Relationship Id="rId112" Type="http://schemas.openxmlformats.org/officeDocument/2006/relationships/hyperlink" Target="https://www.youtube.com/watch?v=u1My2n961KM&amp;pp=ygUrRnVsbC1Cb2R5IER1bWJiZWxsIFN0cmVuZ3RoIHdvcmtvdXQgYXQgaG9tZQ%3D%3D" TargetMode="External"/><Relationship Id="rId111" Type="http://schemas.openxmlformats.org/officeDocument/2006/relationships/hyperlink" Target="https://www.youtube.com/watch?v=kNRVHfT7-_M&amp;t=197s&amp;pp=ygUjZHVtYmJlbGwgdXBwZXIgYm9keSB3b3Jrb3V0IGF0IGhvbWU%3D" TargetMode="External"/><Relationship Id="rId84" Type="http://schemas.openxmlformats.org/officeDocument/2006/relationships/hyperlink" Target="https://www.youtube.com/watch?v=kNRVHfT7-_M&amp;t=197s&amp;pp=ygUjZHVtYmJlbGwgdXBwZXIgYm9keSB3b3Jrb3V0IGF0IGhvbWU%3D" TargetMode="External"/><Relationship Id="rId83" Type="http://schemas.openxmlformats.org/officeDocument/2006/relationships/hyperlink" Target="https://www.youtube.com/watch?v=9wlr8x0Iukg" TargetMode="External"/><Relationship Id="rId86" Type="http://schemas.openxmlformats.org/officeDocument/2006/relationships/hyperlink" Target="https://www.youtube.com/watch?v=9wlr8x0Iukg" TargetMode="External"/><Relationship Id="rId85" Type="http://schemas.openxmlformats.org/officeDocument/2006/relationships/hyperlink" Target="https://www.youtube.com/watch?v=u1My2n961KM&amp;pp=ygUrRnVsbC1Cb2R5IER1bWJiZWxsIFN0cmVuZ3RoIHdvcmtvdXQgYXQgaG9tZQ%3D%3D" TargetMode="External"/><Relationship Id="rId88" Type="http://schemas.openxmlformats.org/officeDocument/2006/relationships/hyperlink" Target="https://www.youtube.com/watch?v=u1My2n961KM&amp;pp=ygUrRnVsbC1Cb2R5IER1bWJiZWxsIFN0cmVuZ3RoIHdvcmtvdXQgYXQgaG9tZQ%3D%3D" TargetMode="External"/><Relationship Id="rId150" Type="http://schemas.openxmlformats.org/officeDocument/2006/relationships/hyperlink" Target="https://www.youtube.com/watch?v=kNRVHfT7-_M&amp;t=197s&amp;pp=ygUjZHVtYmJlbGwgdXBwZXIgYm9keSB3b3Jrb3V0IGF0IGhvbWU%3D" TargetMode="External"/><Relationship Id="rId87" Type="http://schemas.openxmlformats.org/officeDocument/2006/relationships/hyperlink" Target="https://www.youtube.com/watch?v=kNRVHfT7-_M&amp;t=197s&amp;pp=ygUjZHVtYmJlbGwgdXBwZXIgYm9keSB3b3Jrb3V0IGF0IGhvbWU%3D" TargetMode="External"/><Relationship Id="rId89" Type="http://schemas.openxmlformats.org/officeDocument/2006/relationships/hyperlink" Target="https://www.youtube.com/watch?v=9wlr8x0Iukg" TargetMode="External"/><Relationship Id="rId80" Type="http://schemas.openxmlformats.org/officeDocument/2006/relationships/hyperlink" Target="https://www.youtube.com/watch?v=9wlr8x0Iukg" TargetMode="External"/><Relationship Id="rId82" Type="http://schemas.openxmlformats.org/officeDocument/2006/relationships/hyperlink" Target="https://www.youtube.com/watch?v=u1My2n961KM&amp;pp=ygUrRnVsbC1Cb2R5IER1bWJiZWxsIFN0cmVuZ3RoIHdvcmtvdXQgYXQgaG9tZQ%3D%3D" TargetMode="External"/><Relationship Id="rId81" Type="http://schemas.openxmlformats.org/officeDocument/2006/relationships/hyperlink" Target="https://www.youtube.com/watch?v=kNRVHfT7-_M&amp;t=197s&amp;pp=ygUjZHVtYmJlbGwgdXBwZXIgYm9keSB3b3Jrb3V0IGF0IGhvbWU%3D" TargetMode="External"/><Relationship Id="rId1" Type="http://schemas.openxmlformats.org/officeDocument/2006/relationships/hyperlink" Target="https://www.youtube.com/watch?v=u1My2n961KM&amp;pp=ygUrRnVsbC1Cb2R5IER1bWJiZWxsIFN0cmVuZ3RoIHdvcmtvdXQgYXQgaG9tZQ%3D%3D" TargetMode="External"/><Relationship Id="rId2" Type="http://schemas.openxmlformats.org/officeDocument/2006/relationships/hyperlink" Target="https://www.youtube.com/watch?v=9wlr8x0Iukg" TargetMode="External"/><Relationship Id="rId3" Type="http://schemas.openxmlformats.org/officeDocument/2006/relationships/hyperlink" Target="https://www.youtube.com/watch?v=kNRVHfT7-_M&amp;t=197s&amp;pp=ygUjZHVtYmJlbGwgdXBwZXIgYm9keSB3b3Jrb3V0IGF0IGhvbWU%3D" TargetMode="External"/><Relationship Id="rId149" Type="http://schemas.openxmlformats.org/officeDocument/2006/relationships/hyperlink" Target="https://www.youtube.com/watch?v=9wlr8x0Iukg" TargetMode="External"/><Relationship Id="rId4" Type="http://schemas.openxmlformats.org/officeDocument/2006/relationships/hyperlink" Target="https://www.youtube.com/watch?v=u1My2n961KM&amp;pp=ygUrRnVsbC1Cb2R5IER1bWJiZWxsIFN0cmVuZ3RoIHdvcmtvdXQgYXQgaG9tZQ%3D%3D" TargetMode="External"/><Relationship Id="rId148" Type="http://schemas.openxmlformats.org/officeDocument/2006/relationships/hyperlink" Target="https://www.youtube.com/watch?v=u1My2n961KM&amp;pp=ygUrRnVsbC1Cb2R5IER1bWJiZWxsIFN0cmVuZ3RoIHdvcmtvdXQgYXQgaG9tZQ%3D%3D" TargetMode="External"/><Relationship Id="rId9" Type="http://schemas.openxmlformats.org/officeDocument/2006/relationships/hyperlink" Target="https://www.youtube.com/watch?v=kNRVHfT7-_M&amp;t=197s&amp;pp=ygUjZHVtYmJlbGwgdXBwZXIgYm9keSB3b3Jrb3V0IGF0IGhvbWU%3D" TargetMode="External"/><Relationship Id="rId143" Type="http://schemas.openxmlformats.org/officeDocument/2006/relationships/hyperlink" Target="https://www.youtube.com/watch?v=9wlr8x0Iukg" TargetMode="External"/><Relationship Id="rId142" Type="http://schemas.openxmlformats.org/officeDocument/2006/relationships/hyperlink" Target="https://www.youtube.com/watch?v=u1My2n961KM&amp;pp=ygUrRnVsbC1Cb2R5IER1bWJiZWxsIFN0cmVuZ3RoIHdvcmtvdXQgYXQgaG9tZQ%3D%3D" TargetMode="External"/><Relationship Id="rId141" Type="http://schemas.openxmlformats.org/officeDocument/2006/relationships/hyperlink" Target="https://www.youtube.com/watch?v=kNRVHfT7-_M&amp;t=197s&amp;pp=ygUjZHVtYmJlbGwgdXBwZXIgYm9keSB3b3Jrb3V0IGF0IGhvbWU%3D" TargetMode="External"/><Relationship Id="rId140" Type="http://schemas.openxmlformats.org/officeDocument/2006/relationships/hyperlink" Target="https://www.youtube.com/watch?v=9wlr8x0Iukg" TargetMode="External"/><Relationship Id="rId5" Type="http://schemas.openxmlformats.org/officeDocument/2006/relationships/hyperlink" Target="https://www.youtube.com/watch?v=9wlr8x0Iukg" TargetMode="External"/><Relationship Id="rId147" Type="http://schemas.openxmlformats.org/officeDocument/2006/relationships/hyperlink" Target="https://www.youtube.com/watch?v=kNRVHfT7-_M&amp;t=197s&amp;pp=ygUjZHVtYmJlbGwgdXBwZXIgYm9keSB3b3Jrb3V0IGF0IGhvbWU%3D" TargetMode="External"/><Relationship Id="rId6" Type="http://schemas.openxmlformats.org/officeDocument/2006/relationships/hyperlink" Target="https://www.youtube.com/watch?v=kNRVHfT7-_M&amp;t=197s&amp;pp=ygUjZHVtYmJlbGwgdXBwZXIgYm9keSB3b3Jrb3V0IGF0IGhvbWU%3D" TargetMode="External"/><Relationship Id="rId146" Type="http://schemas.openxmlformats.org/officeDocument/2006/relationships/hyperlink" Target="https://www.youtube.com/watch?v=9wlr8x0Iukg" TargetMode="External"/><Relationship Id="rId7" Type="http://schemas.openxmlformats.org/officeDocument/2006/relationships/hyperlink" Target="https://www.youtube.com/watch?v=u1My2n961KM&amp;pp=ygUrRnVsbC1Cb2R5IER1bWJiZWxsIFN0cmVuZ3RoIHdvcmtvdXQgYXQgaG9tZQ%3D%3D" TargetMode="External"/><Relationship Id="rId145" Type="http://schemas.openxmlformats.org/officeDocument/2006/relationships/hyperlink" Target="https://www.youtube.com/watch?v=u1My2n961KM&amp;pp=ygUrRnVsbC1Cb2R5IER1bWJiZWxsIFN0cmVuZ3RoIHdvcmtvdXQgYXQgaG9tZQ%3D%3D" TargetMode="External"/><Relationship Id="rId8" Type="http://schemas.openxmlformats.org/officeDocument/2006/relationships/hyperlink" Target="https://www.youtube.com/watch?v=9wlr8x0Iukg" TargetMode="External"/><Relationship Id="rId144" Type="http://schemas.openxmlformats.org/officeDocument/2006/relationships/hyperlink" Target="https://www.youtube.com/watch?v=kNRVHfT7-_M&amp;t=197s&amp;pp=ygUjZHVtYmJlbGwgdXBwZXIgYm9keSB3b3Jrb3V0IGF0IGhvbWU%3D" TargetMode="External"/><Relationship Id="rId73" Type="http://schemas.openxmlformats.org/officeDocument/2006/relationships/hyperlink" Target="https://www.youtube.com/watch?v=u1My2n961KM&amp;pp=ygUrRnVsbC1Cb2R5IER1bWJiZWxsIFN0cmVuZ3RoIHdvcmtvdXQgYXQgaG9tZQ%3D%3D" TargetMode="External"/><Relationship Id="rId72" Type="http://schemas.openxmlformats.org/officeDocument/2006/relationships/hyperlink" Target="https://www.youtube.com/watch?v=kNRVHfT7-_M&amp;t=197s&amp;pp=ygUjZHVtYmJlbGwgdXBwZXIgYm9keSB3b3Jrb3V0IGF0IGhvbWU%3D" TargetMode="External"/><Relationship Id="rId75" Type="http://schemas.openxmlformats.org/officeDocument/2006/relationships/hyperlink" Target="https://www.youtube.com/watch?v=kNRVHfT7-_M&amp;t=197s&amp;pp=ygUjZHVtYmJlbGwgdXBwZXIgYm9keSB3b3Jrb3V0IGF0IGhvbWU%3D" TargetMode="External"/><Relationship Id="rId74" Type="http://schemas.openxmlformats.org/officeDocument/2006/relationships/hyperlink" Target="https://www.youtube.com/watch?v=9wlr8x0Iukg" TargetMode="External"/><Relationship Id="rId77" Type="http://schemas.openxmlformats.org/officeDocument/2006/relationships/hyperlink" Target="https://www.youtube.com/watch?v=9wlr8x0Iukg" TargetMode="External"/><Relationship Id="rId76" Type="http://schemas.openxmlformats.org/officeDocument/2006/relationships/hyperlink" Target="https://www.youtube.com/watch?v=u1My2n961KM&amp;pp=ygUrRnVsbC1Cb2R5IER1bWJiZWxsIFN0cmVuZ3RoIHdvcmtvdXQgYXQgaG9tZQ%3D%3D" TargetMode="External"/><Relationship Id="rId79" Type="http://schemas.openxmlformats.org/officeDocument/2006/relationships/hyperlink" Target="https://www.youtube.com/watch?v=u1My2n961KM&amp;pp=ygUrRnVsbC1Cb2R5IER1bWJiZWxsIFN0cmVuZ3RoIHdvcmtvdXQgYXQgaG9tZQ%3D%3D" TargetMode="External"/><Relationship Id="rId78" Type="http://schemas.openxmlformats.org/officeDocument/2006/relationships/hyperlink" Target="https://www.youtube.com/watch?v=kNRVHfT7-_M&amp;t=197s&amp;pp=ygUjZHVtYmJlbGwgdXBwZXIgYm9keSB3b3Jrb3V0IGF0IGhvbWU%3D" TargetMode="External"/><Relationship Id="rId71" Type="http://schemas.openxmlformats.org/officeDocument/2006/relationships/hyperlink" Target="https://www.youtube.com/watch?v=9wlr8x0Iukg" TargetMode="External"/><Relationship Id="rId70" Type="http://schemas.openxmlformats.org/officeDocument/2006/relationships/hyperlink" Target="https://www.youtube.com/watch?v=u1My2n961KM&amp;pp=ygUrRnVsbC1Cb2R5IER1bWJiZWxsIFN0cmVuZ3RoIHdvcmtvdXQgYXQgaG9tZQ%3D%3D" TargetMode="External"/><Relationship Id="rId139" Type="http://schemas.openxmlformats.org/officeDocument/2006/relationships/hyperlink" Target="https://www.youtube.com/watch?v=u1My2n961KM&amp;pp=ygUrRnVsbC1Cb2R5IER1bWJiZWxsIFN0cmVuZ3RoIHdvcmtvdXQgYXQgaG9tZQ%3D%3D" TargetMode="External"/><Relationship Id="rId138" Type="http://schemas.openxmlformats.org/officeDocument/2006/relationships/hyperlink" Target="https://www.youtube.com/watch?v=kNRVHfT7-_M&amp;t=197s&amp;pp=ygUjZHVtYmJlbGwgdXBwZXIgYm9keSB3b3Jrb3V0IGF0IGhvbWU%3D" TargetMode="External"/><Relationship Id="rId137" Type="http://schemas.openxmlformats.org/officeDocument/2006/relationships/hyperlink" Target="https://www.youtube.com/watch?v=9wlr8x0Iukg" TargetMode="External"/><Relationship Id="rId132" Type="http://schemas.openxmlformats.org/officeDocument/2006/relationships/hyperlink" Target="https://www.youtube.com/watch?v=kNRVHfT7-_M&amp;t=197s&amp;pp=ygUjZHVtYmJlbGwgdXBwZXIgYm9keSB3b3Jrb3V0IGF0IGhvbWU%3D" TargetMode="External"/><Relationship Id="rId131" Type="http://schemas.openxmlformats.org/officeDocument/2006/relationships/hyperlink" Target="https://www.youtube.com/watch?v=9wlr8x0Iukg" TargetMode="External"/><Relationship Id="rId130" Type="http://schemas.openxmlformats.org/officeDocument/2006/relationships/hyperlink" Target="https://www.youtube.com/watch?v=u1My2n961KM&amp;pp=ygUrRnVsbC1Cb2R5IER1bWJiZWxsIFN0cmVuZ3RoIHdvcmtvdXQgYXQgaG9tZQ%3D%3D" TargetMode="External"/><Relationship Id="rId136" Type="http://schemas.openxmlformats.org/officeDocument/2006/relationships/hyperlink" Target="https://www.youtube.com/watch?v=u1My2n961KM&amp;pp=ygUrRnVsbC1Cb2R5IER1bWJiZWxsIFN0cmVuZ3RoIHdvcmtvdXQgYXQgaG9tZQ%3D%3D" TargetMode="External"/><Relationship Id="rId135" Type="http://schemas.openxmlformats.org/officeDocument/2006/relationships/hyperlink" Target="https://www.youtube.com/watch?v=kNRVHfT7-_M&amp;t=197s&amp;pp=ygUjZHVtYmJlbGwgdXBwZXIgYm9keSB3b3Jrb3V0IGF0IGhvbWU%3D" TargetMode="External"/><Relationship Id="rId134" Type="http://schemas.openxmlformats.org/officeDocument/2006/relationships/hyperlink" Target="https://www.youtube.com/watch?v=9wlr8x0Iukg" TargetMode="External"/><Relationship Id="rId133" Type="http://schemas.openxmlformats.org/officeDocument/2006/relationships/hyperlink" Target="https://www.youtube.com/watch?v=u1My2n961KM&amp;pp=ygUrRnVsbC1Cb2R5IER1bWJiZWxsIFN0cmVuZ3RoIHdvcmtvdXQgYXQgaG9tZQ%3D%3D" TargetMode="External"/><Relationship Id="rId62" Type="http://schemas.openxmlformats.org/officeDocument/2006/relationships/hyperlink" Target="https://www.youtube.com/watch?v=9wlr8x0Iukg" TargetMode="External"/><Relationship Id="rId61" Type="http://schemas.openxmlformats.org/officeDocument/2006/relationships/hyperlink" Target="https://www.youtube.com/watch?v=u1My2n961KM&amp;pp=ygUrRnVsbC1Cb2R5IER1bWJiZWxsIFN0cmVuZ3RoIHdvcmtvdXQgYXQgaG9tZQ%3D%3D" TargetMode="External"/><Relationship Id="rId64" Type="http://schemas.openxmlformats.org/officeDocument/2006/relationships/hyperlink" Target="https://www.youtube.com/watch?v=u1My2n961KM&amp;pp=ygUrRnVsbC1Cb2R5IER1bWJiZWxsIFN0cmVuZ3RoIHdvcmtvdXQgYXQgaG9tZQ%3D%3D" TargetMode="External"/><Relationship Id="rId63" Type="http://schemas.openxmlformats.org/officeDocument/2006/relationships/hyperlink" Target="https://www.youtube.com/watch?v=kNRVHfT7-_M&amp;t=197s&amp;pp=ygUjZHVtYmJlbGwgdXBwZXIgYm9keSB3b3Jrb3V0IGF0IGhvbWU%3D" TargetMode="External"/><Relationship Id="rId66" Type="http://schemas.openxmlformats.org/officeDocument/2006/relationships/hyperlink" Target="https://www.youtube.com/watch?v=kNRVHfT7-_M&amp;t=197s&amp;pp=ygUjZHVtYmJlbGwgdXBwZXIgYm9keSB3b3Jrb3V0IGF0IGhvbWU%3D" TargetMode="External"/><Relationship Id="rId65" Type="http://schemas.openxmlformats.org/officeDocument/2006/relationships/hyperlink" Target="https://www.youtube.com/watch?v=9wlr8x0Iukg" TargetMode="External"/><Relationship Id="rId68" Type="http://schemas.openxmlformats.org/officeDocument/2006/relationships/hyperlink" Target="https://www.youtube.com/watch?v=9wlr8x0Iukg" TargetMode="External"/><Relationship Id="rId67" Type="http://schemas.openxmlformats.org/officeDocument/2006/relationships/hyperlink" Target="https://www.youtube.com/watch?v=u1My2n961KM&amp;pp=ygUrRnVsbC1Cb2R5IER1bWJiZWxsIFN0cmVuZ3RoIHdvcmtvdXQgYXQgaG9tZQ%3D%3D" TargetMode="External"/><Relationship Id="rId60" Type="http://schemas.openxmlformats.org/officeDocument/2006/relationships/hyperlink" Target="https://www.youtube.com/watch?v=kNRVHfT7-_M&amp;t=197s&amp;pp=ygUjZHVtYmJlbGwgdXBwZXIgYm9keSB3b3Jrb3V0IGF0IGhvbWU%3D" TargetMode="External"/><Relationship Id="rId69" Type="http://schemas.openxmlformats.org/officeDocument/2006/relationships/hyperlink" Target="https://www.youtube.com/watch?v=kNRVHfT7-_M&amp;t=197s&amp;pp=ygUjZHVtYmJlbGwgdXBwZXIgYm9keSB3b3Jrb3V0IGF0IGhvbWU%3D" TargetMode="External"/><Relationship Id="rId162" Type="http://schemas.openxmlformats.org/officeDocument/2006/relationships/table" Target="../tables/table1.xml"/><Relationship Id="rId51" Type="http://schemas.openxmlformats.org/officeDocument/2006/relationships/hyperlink" Target="https://www.youtube.com/watch?v=kNRVHfT7-_M&amp;t=197s&amp;pp=ygUjZHVtYmJlbGwgdXBwZXIgYm9keSB3b3Jrb3V0IGF0IGhvbWU%3D" TargetMode="External"/><Relationship Id="rId50" Type="http://schemas.openxmlformats.org/officeDocument/2006/relationships/hyperlink" Target="https://www.youtube.com/watch?v=9wlr8x0Iukg" TargetMode="External"/><Relationship Id="rId53" Type="http://schemas.openxmlformats.org/officeDocument/2006/relationships/hyperlink" Target="https://www.youtube.com/watch?v=9wlr8x0Iukg" TargetMode="External"/><Relationship Id="rId52" Type="http://schemas.openxmlformats.org/officeDocument/2006/relationships/hyperlink" Target="https://www.youtube.com/watch?v=u1My2n961KM&amp;pp=ygUrRnVsbC1Cb2R5IER1bWJiZWxsIFN0cmVuZ3RoIHdvcmtvdXQgYXQgaG9tZQ%3D%3D" TargetMode="External"/><Relationship Id="rId55" Type="http://schemas.openxmlformats.org/officeDocument/2006/relationships/hyperlink" Target="https://www.youtube.com/watch?v=u1My2n961KM&amp;pp=ygUrRnVsbC1Cb2R5IER1bWJiZWxsIFN0cmVuZ3RoIHdvcmtvdXQgYXQgaG9tZQ%3D%3D" TargetMode="External"/><Relationship Id="rId54" Type="http://schemas.openxmlformats.org/officeDocument/2006/relationships/hyperlink" Target="https://www.youtube.com/watch?v=kNRVHfT7-_M&amp;t=197s&amp;pp=ygUjZHVtYmJlbGwgdXBwZXIgYm9keSB3b3Jrb3V0IGF0IGhvbWU%3D" TargetMode="External"/><Relationship Id="rId160" Type="http://schemas.openxmlformats.org/officeDocument/2006/relationships/drawing" Target="../drawings/drawing1.xml"/><Relationship Id="rId57" Type="http://schemas.openxmlformats.org/officeDocument/2006/relationships/hyperlink" Target="https://www.youtube.com/watch?v=kNRVHfT7-_M&amp;t=197s&amp;pp=ygUjZHVtYmJlbGwgdXBwZXIgYm9keSB3b3Jrb3V0IGF0IGhvbWU%3D" TargetMode="External"/><Relationship Id="rId56" Type="http://schemas.openxmlformats.org/officeDocument/2006/relationships/hyperlink" Target="https://www.youtube.com/watch?v=9wlr8x0Iukg" TargetMode="External"/><Relationship Id="rId159" Type="http://schemas.openxmlformats.org/officeDocument/2006/relationships/hyperlink" Target="https://www.youtube.com/watch?v=kNRVHfT7-_M&amp;t=197s&amp;pp=ygUjZHVtYmJlbGwgdXBwZXIgYm9keSB3b3Jrb3V0IGF0IGhvbWU%3D" TargetMode="External"/><Relationship Id="rId59" Type="http://schemas.openxmlformats.org/officeDocument/2006/relationships/hyperlink" Target="https://www.youtube.com/watch?v=9wlr8x0Iukg" TargetMode="External"/><Relationship Id="rId154" Type="http://schemas.openxmlformats.org/officeDocument/2006/relationships/hyperlink" Target="https://www.youtube.com/watch?v=u1My2n961KM&amp;pp=ygUrRnVsbC1Cb2R5IER1bWJiZWxsIFN0cmVuZ3RoIHdvcmtvdXQgYXQgaG9tZQ%3D%3D" TargetMode="External"/><Relationship Id="rId58" Type="http://schemas.openxmlformats.org/officeDocument/2006/relationships/hyperlink" Target="https://www.youtube.com/watch?v=u1My2n961KM&amp;pp=ygUrRnVsbC1Cb2R5IER1bWJiZWxsIFN0cmVuZ3RoIHdvcmtvdXQgYXQgaG9tZQ%3D%3D" TargetMode="External"/><Relationship Id="rId153" Type="http://schemas.openxmlformats.org/officeDocument/2006/relationships/hyperlink" Target="https://www.youtube.com/watch?v=kNRVHfT7-_M&amp;t=197s&amp;pp=ygUjZHVtYmJlbGwgdXBwZXIgYm9keSB3b3Jrb3V0IGF0IGhvbWU%3D" TargetMode="External"/><Relationship Id="rId152" Type="http://schemas.openxmlformats.org/officeDocument/2006/relationships/hyperlink" Target="https://www.youtube.com/watch?v=9wlr8x0Iukg" TargetMode="External"/><Relationship Id="rId151" Type="http://schemas.openxmlformats.org/officeDocument/2006/relationships/hyperlink" Target="https://www.youtube.com/watch?v=u1My2n961KM&amp;pp=ygUrRnVsbC1Cb2R5IER1bWJiZWxsIFN0cmVuZ3RoIHdvcmtvdXQgYXQgaG9tZQ%3D%3D" TargetMode="External"/><Relationship Id="rId158" Type="http://schemas.openxmlformats.org/officeDocument/2006/relationships/hyperlink" Target="https://www.youtube.com/watch?v=9wlr8x0Iukg" TargetMode="External"/><Relationship Id="rId157" Type="http://schemas.openxmlformats.org/officeDocument/2006/relationships/hyperlink" Target="https://www.youtube.com/watch?v=u1My2n961KM&amp;pp=ygUrRnVsbC1Cb2R5IER1bWJiZWxsIFN0cmVuZ3RoIHdvcmtvdXQgYXQgaG9tZQ%3D%3D" TargetMode="External"/><Relationship Id="rId156" Type="http://schemas.openxmlformats.org/officeDocument/2006/relationships/hyperlink" Target="https://www.youtube.com/watch?v=kNRVHfT7-_M&amp;t=197s&amp;pp=ygUjZHVtYmJlbGwgdXBwZXIgYm9keSB3b3Jrb3V0IGF0IGhvbWU%3D" TargetMode="External"/><Relationship Id="rId155" Type="http://schemas.openxmlformats.org/officeDocument/2006/relationships/hyperlink" Target="https://www.youtube.com/watch?v=9wlr8x0Iuk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6.0"/>
    <col customWidth="1" min="3" max="3" width="37.75"/>
    <col customWidth="1" min="4" max="4" width="17.13"/>
    <col customWidth="1" min="5" max="5" width="15.38"/>
    <col customWidth="1" min="6" max="6" width="12.75"/>
    <col customWidth="1" min="7" max="7" width="26.0"/>
    <col customWidth="1" min="8" max="8" width="17.13"/>
    <col customWidth="1" min="10" max="10" width="17.25"/>
  </cols>
  <sheetData>
    <row r="1" ht="33.0" customHeight="1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8"/>
      <c r="J1" s="9" t="s">
        <v>40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62.25" customHeight="1">
      <c r="A2" s="10">
        <f>IFERROR(__xludf.DUMMYFUNCTION("LET(
  dates, SEQUENCE(365,1,J2,1),
  FILTER(dates, ISNUMBER(MATCH(WEEKDAY(dates,1),{2,4,6},0)))
)"),46321.0)</f>
        <v>46321</v>
      </c>
      <c r="B2" s="11" t="s">
        <v>41</v>
      </c>
      <c r="C2" s="12" t="s">
        <v>42</v>
      </c>
      <c r="D2" s="13" t="b">
        <v>0</v>
      </c>
      <c r="E2" s="14" t="str">
        <f t="shared" ref="E2:E4" si="1">HYPERLINK("https://www.hybridcalisthenics.com/wall-pushups","#1 Wall Pushups")</f>
        <v>#1 Wall Pushups</v>
      </c>
      <c r="F2" s="15">
        <v>1.0</v>
      </c>
      <c r="G2" s="16" t="s">
        <v>43</v>
      </c>
      <c r="H2" s="13" t="b">
        <v>0</v>
      </c>
      <c r="I2" s="17"/>
      <c r="J2" s="18">
        <v>46319.0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ht="62.25" customHeight="1">
      <c r="A3" s="10">
        <f>IFERROR(__xludf.DUMMYFUNCTION("""COMPUTED_VALUE"""),46323.0)</f>
        <v>46323</v>
      </c>
      <c r="B3" s="11" t="s">
        <v>44</v>
      </c>
      <c r="C3" s="12" t="s">
        <v>45</v>
      </c>
      <c r="D3" s="19" t="b">
        <v>0</v>
      </c>
      <c r="E3" s="14" t="str">
        <f t="shared" si="1"/>
        <v>#1 Wall Pushups</v>
      </c>
      <c r="F3" s="20">
        <v>2.0</v>
      </c>
      <c r="G3" s="21" t="s">
        <v>46</v>
      </c>
      <c r="H3" s="19" t="b">
        <v>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62.25" customHeight="1">
      <c r="A4" s="10">
        <f>IFERROR(__xludf.DUMMYFUNCTION("""COMPUTED_VALUE"""),46325.0)</f>
        <v>46325</v>
      </c>
      <c r="B4" s="11" t="s">
        <v>47</v>
      </c>
      <c r="C4" s="12" t="s">
        <v>48</v>
      </c>
      <c r="D4" s="19" t="b">
        <v>0</v>
      </c>
      <c r="E4" s="14" t="str">
        <f t="shared" si="1"/>
        <v>#1 Wall Pushups</v>
      </c>
      <c r="F4" s="22">
        <v>3.0</v>
      </c>
      <c r="G4" s="23" t="s">
        <v>49</v>
      </c>
      <c r="H4" s="19" t="b">
        <v>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62.25" customHeight="1">
      <c r="A5" s="10">
        <f>IFERROR(__xludf.DUMMYFUNCTION("""COMPUTED_VALUE"""),46328.0)</f>
        <v>46328</v>
      </c>
      <c r="B5" s="11" t="s">
        <v>41</v>
      </c>
      <c r="C5" s="12" t="s">
        <v>50</v>
      </c>
      <c r="D5" s="19" t="b">
        <v>0</v>
      </c>
      <c r="E5" s="24" t="str">
        <f t="shared" ref="E5:E7" si="2">HYPERLINK("https://www.hybridcalisthenics.com/incline-pushups","#2 Incline Pushups")</f>
        <v>#2 Incline Pushups</v>
      </c>
      <c r="F5" s="15">
        <v>1.0</v>
      </c>
      <c r="G5" s="16" t="s">
        <v>51</v>
      </c>
      <c r="H5" s="19" t="b">
        <v>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62.25" customHeight="1">
      <c r="A6" s="10">
        <f>IFERROR(__xludf.DUMMYFUNCTION("""COMPUTED_VALUE"""),46330.0)</f>
        <v>46330</v>
      </c>
      <c r="B6" s="11" t="s">
        <v>44</v>
      </c>
      <c r="C6" s="12" t="s">
        <v>52</v>
      </c>
      <c r="D6" s="19" t="b">
        <v>0</v>
      </c>
      <c r="E6" s="24" t="str">
        <f t="shared" si="2"/>
        <v>#2 Incline Pushups</v>
      </c>
      <c r="F6" s="20">
        <v>2.0</v>
      </c>
      <c r="G6" s="21" t="s">
        <v>43</v>
      </c>
      <c r="H6" s="19" t="b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62.25" customHeight="1">
      <c r="A7" s="10">
        <f>IFERROR(__xludf.DUMMYFUNCTION("""COMPUTED_VALUE"""),46332.0)</f>
        <v>46332</v>
      </c>
      <c r="B7" s="11" t="s">
        <v>47</v>
      </c>
      <c r="C7" s="12" t="s">
        <v>53</v>
      </c>
      <c r="D7" s="19" t="b">
        <v>0</v>
      </c>
      <c r="E7" s="24" t="str">
        <f t="shared" si="2"/>
        <v>#2 Incline Pushups</v>
      </c>
      <c r="F7" s="22">
        <v>3.0</v>
      </c>
      <c r="G7" s="23" t="s">
        <v>54</v>
      </c>
      <c r="H7" s="19" t="b">
        <v>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62.25" customHeight="1">
      <c r="A8" s="10">
        <f>IFERROR(__xludf.DUMMYFUNCTION("""COMPUTED_VALUE"""),46335.0)</f>
        <v>46335</v>
      </c>
      <c r="B8" s="11" t="s">
        <v>41</v>
      </c>
      <c r="C8" s="12" t="s">
        <v>55</v>
      </c>
      <c r="D8" s="19" t="b">
        <v>0</v>
      </c>
      <c r="E8" s="14" t="str">
        <f t="shared" ref="E8:E10" si="3">HYPERLINK("https://www.hybridcalisthenics.com/advanced-incline-pushups","#3 Advanced Incline Pushups")</f>
        <v>#3 Advanced Incline Pushups</v>
      </c>
      <c r="F8" s="15">
        <v>1.0</v>
      </c>
      <c r="G8" s="16" t="s">
        <v>51</v>
      </c>
      <c r="H8" s="19" t="b">
        <v>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62.25" customHeight="1">
      <c r="A9" s="10">
        <f>IFERROR(__xludf.DUMMYFUNCTION("""COMPUTED_VALUE"""),46337.0)</f>
        <v>46337</v>
      </c>
      <c r="B9" s="11" t="s">
        <v>44</v>
      </c>
      <c r="C9" s="12" t="s">
        <v>56</v>
      </c>
      <c r="D9" s="19" t="b">
        <v>0</v>
      </c>
      <c r="E9" s="14" t="str">
        <f t="shared" si="3"/>
        <v>#3 Advanced Incline Pushups</v>
      </c>
      <c r="F9" s="20">
        <v>2.0</v>
      </c>
      <c r="G9" s="21" t="s">
        <v>43</v>
      </c>
      <c r="H9" s="19" t="b">
        <v>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62.25" customHeight="1">
      <c r="A10" s="10">
        <f>IFERROR(__xludf.DUMMYFUNCTION("""COMPUTED_VALUE"""),46339.0)</f>
        <v>46339</v>
      </c>
      <c r="B10" s="11" t="s">
        <v>47</v>
      </c>
      <c r="C10" s="12" t="s">
        <v>57</v>
      </c>
      <c r="D10" s="19" t="b">
        <v>0</v>
      </c>
      <c r="E10" s="14" t="str">
        <f t="shared" si="3"/>
        <v>#3 Advanced Incline Pushups</v>
      </c>
      <c r="F10" s="22">
        <v>3.0</v>
      </c>
      <c r="G10" s="23" t="s">
        <v>58</v>
      </c>
      <c r="H10" s="19" t="b">
        <v>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62.25" customHeight="1">
      <c r="A11" s="10">
        <f>IFERROR(__xludf.DUMMYFUNCTION("""COMPUTED_VALUE"""),46342.0)</f>
        <v>46342</v>
      </c>
      <c r="B11" s="11" t="s">
        <v>41</v>
      </c>
      <c r="C11" s="12" t="s">
        <v>59</v>
      </c>
      <c r="D11" s="19" t="b">
        <v>0</v>
      </c>
      <c r="E11" s="14" t="str">
        <f t="shared" ref="E11:E13" si="4">HYPERLINK("https://www.hybridcalisthenics.com/knee-pushups","#4 Knee Pushups")</f>
        <v>#4 Knee Pushups</v>
      </c>
      <c r="F11" s="15">
        <v>1.0</v>
      </c>
      <c r="G11" s="16" t="s">
        <v>60</v>
      </c>
      <c r="H11" s="19" t="b">
        <v>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62.25" customHeight="1">
      <c r="A12" s="10">
        <f>IFERROR(__xludf.DUMMYFUNCTION("""COMPUTED_VALUE"""),46344.0)</f>
        <v>46344</v>
      </c>
      <c r="B12" s="11" t="s">
        <v>44</v>
      </c>
      <c r="C12" s="12" t="s">
        <v>61</v>
      </c>
      <c r="D12" s="19" t="b">
        <v>0</v>
      </c>
      <c r="E12" s="14" t="str">
        <f t="shared" si="4"/>
        <v>#4 Knee Pushups</v>
      </c>
      <c r="F12" s="20">
        <v>2.0</v>
      </c>
      <c r="G12" s="21" t="s">
        <v>51</v>
      </c>
      <c r="H12" s="19" t="b">
        <v>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62.25" customHeight="1">
      <c r="A13" s="10">
        <f>IFERROR(__xludf.DUMMYFUNCTION("""COMPUTED_VALUE"""),46346.0)</f>
        <v>46346</v>
      </c>
      <c r="B13" s="11" t="s">
        <v>47</v>
      </c>
      <c r="C13" s="12" t="s">
        <v>62</v>
      </c>
      <c r="D13" s="19" t="b">
        <v>0</v>
      </c>
      <c r="E13" s="14" t="str">
        <f t="shared" si="4"/>
        <v>#4 Knee Pushups</v>
      </c>
      <c r="F13" s="22">
        <v>3.0</v>
      </c>
      <c r="G13" s="23" t="s">
        <v>63</v>
      </c>
      <c r="H13" s="19" t="b">
        <v>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62.25" customHeight="1">
      <c r="A14" s="10">
        <f>IFERROR(__xludf.DUMMYFUNCTION("""COMPUTED_VALUE"""),46349.0)</f>
        <v>46349</v>
      </c>
      <c r="B14" s="11" t="s">
        <v>41</v>
      </c>
      <c r="C14" s="12" t="s">
        <v>64</v>
      </c>
      <c r="D14" s="19" t="b">
        <v>0</v>
      </c>
      <c r="E14" s="14" t="str">
        <f t="shared" ref="E14:E16" si="5">HYPERLINK("https://www.hybridcalisthenics.com/full-pushups","#5 Full Pushups")</f>
        <v>#5 Full Pushups</v>
      </c>
      <c r="F14" s="15">
        <v>1.0</v>
      </c>
      <c r="G14" s="16" t="s">
        <v>65</v>
      </c>
      <c r="H14" s="19" t="b">
        <v>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62.25" customHeight="1">
      <c r="A15" s="10">
        <f>IFERROR(__xludf.DUMMYFUNCTION("""COMPUTED_VALUE"""),46351.0)</f>
        <v>46351</v>
      </c>
      <c r="B15" s="11" t="s">
        <v>44</v>
      </c>
      <c r="C15" s="12" t="s">
        <v>66</v>
      </c>
      <c r="D15" s="19" t="b">
        <v>0</v>
      </c>
      <c r="E15" s="14" t="str">
        <f t="shared" si="5"/>
        <v>#5 Full Pushups</v>
      </c>
      <c r="F15" s="20">
        <v>2.0</v>
      </c>
      <c r="G15" s="21" t="s">
        <v>67</v>
      </c>
      <c r="H15" s="19" t="b">
        <v>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62.25" customHeight="1">
      <c r="A16" s="10">
        <f>IFERROR(__xludf.DUMMYFUNCTION("""COMPUTED_VALUE"""),46353.0)</f>
        <v>46353</v>
      </c>
      <c r="B16" s="11" t="s">
        <v>47</v>
      </c>
      <c r="C16" s="12" t="s">
        <v>68</v>
      </c>
      <c r="D16" s="19" t="b">
        <v>0</v>
      </c>
      <c r="E16" s="14" t="str">
        <f t="shared" si="5"/>
        <v>#5 Full Pushups</v>
      </c>
      <c r="F16" s="22">
        <v>3.0</v>
      </c>
      <c r="G16" s="23" t="s">
        <v>69</v>
      </c>
      <c r="H16" s="19" t="b">
        <v>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62.25" customHeight="1">
      <c r="A17" s="10">
        <f>IFERROR(__xludf.DUMMYFUNCTION("""COMPUTED_VALUE"""),46356.0)</f>
        <v>46356</v>
      </c>
      <c r="B17" s="11" t="s">
        <v>41</v>
      </c>
      <c r="C17" s="12" t="s">
        <v>70</v>
      </c>
      <c r="D17" s="19" t="b">
        <v>0</v>
      </c>
      <c r="E17" s="14" t="str">
        <f t="shared" ref="E17:E19" si="6">HYPERLINK("https://www.hybridcalisthenics.com/narrow-pushups","#6 Narrow Pushups")</f>
        <v>#6 Narrow Pushups</v>
      </c>
      <c r="F17" s="15">
        <v>1.0</v>
      </c>
      <c r="G17" s="16" t="s">
        <v>65</v>
      </c>
      <c r="H17" s="19" t="b">
        <v>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62.25" customHeight="1">
      <c r="A18" s="10">
        <f>IFERROR(__xludf.DUMMYFUNCTION("""COMPUTED_VALUE"""),46358.0)</f>
        <v>46358</v>
      </c>
      <c r="B18" s="11" t="s">
        <v>44</v>
      </c>
      <c r="C18" s="12" t="s">
        <v>71</v>
      </c>
      <c r="D18" s="19" t="b">
        <v>0</v>
      </c>
      <c r="E18" s="14" t="str">
        <f t="shared" si="6"/>
        <v>#6 Narrow Pushups</v>
      </c>
      <c r="F18" s="20">
        <v>2.0</v>
      </c>
      <c r="G18" s="21" t="s">
        <v>60</v>
      </c>
      <c r="H18" s="19" t="b">
        <v>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62.25" customHeight="1">
      <c r="A19" s="10">
        <f>IFERROR(__xludf.DUMMYFUNCTION("""COMPUTED_VALUE"""),46360.0)</f>
        <v>46360</v>
      </c>
      <c r="B19" s="11" t="s">
        <v>47</v>
      </c>
      <c r="C19" s="12" t="s">
        <v>72</v>
      </c>
      <c r="D19" s="19" t="b">
        <v>0</v>
      </c>
      <c r="E19" s="14" t="str">
        <f t="shared" si="6"/>
        <v>#6 Narrow Pushups</v>
      </c>
      <c r="F19" s="22">
        <v>3.0</v>
      </c>
      <c r="G19" s="23" t="s">
        <v>73</v>
      </c>
      <c r="H19" s="19" t="b">
        <v>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62.25" customHeight="1">
      <c r="A20" s="10">
        <f>IFERROR(__xludf.DUMMYFUNCTION("""COMPUTED_VALUE"""),46363.0)</f>
        <v>46363</v>
      </c>
      <c r="B20" s="11" t="s">
        <v>41</v>
      </c>
      <c r="C20" s="12" t="s">
        <v>74</v>
      </c>
      <c r="D20" s="19" t="b">
        <v>0</v>
      </c>
      <c r="E20" s="14" t="str">
        <f t="shared" ref="E20:E22" si="7">HYPERLINK("https://www.hybridcalisthenics.com/side-staggered-pushups","#7 Side Staggered Pushups")</f>
        <v>#7 Side Staggered Pushups</v>
      </c>
      <c r="F20" s="15">
        <v>1.0</v>
      </c>
      <c r="G20" s="16" t="s">
        <v>75</v>
      </c>
      <c r="H20" s="19" t="b"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62.25" customHeight="1">
      <c r="A21" s="10">
        <f>IFERROR(__xludf.DUMMYFUNCTION("""COMPUTED_VALUE"""),46365.0)</f>
        <v>46365</v>
      </c>
      <c r="B21" s="11" t="s">
        <v>44</v>
      </c>
      <c r="C21" s="12" t="s">
        <v>76</v>
      </c>
      <c r="D21" s="19" t="b">
        <v>0</v>
      </c>
      <c r="E21" s="14" t="str">
        <f t="shared" si="7"/>
        <v>#7 Side Staggered Pushups</v>
      </c>
      <c r="F21" s="20">
        <v>2.0</v>
      </c>
      <c r="G21" s="21" t="s">
        <v>77</v>
      </c>
      <c r="H21" s="19" t="b"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62.25" customHeight="1">
      <c r="A22" s="10">
        <f>IFERROR(__xludf.DUMMYFUNCTION("""COMPUTED_VALUE"""),46367.0)</f>
        <v>46367</v>
      </c>
      <c r="B22" s="11" t="s">
        <v>47</v>
      </c>
      <c r="C22" s="12" t="s">
        <v>78</v>
      </c>
      <c r="D22" s="19" t="b">
        <v>0</v>
      </c>
      <c r="E22" s="14" t="str">
        <f t="shared" si="7"/>
        <v>#7 Side Staggered Pushups</v>
      </c>
      <c r="F22" s="22">
        <v>3.0</v>
      </c>
      <c r="G22" s="23" t="s">
        <v>79</v>
      </c>
      <c r="H22" s="19" t="b">
        <v>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62.25" customHeight="1">
      <c r="A23" s="10">
        <f>IFERROR(__xludf.DUMMYFUNCTION("""COMPUTED_VALUE"""),46370.0)</f>
        <v>46370</v>
      </c>
      <c r="B23" s="11" t="s">
        <v>41</v>
      </c>
      <c r="C23" s="12" t="s">
        <v>80</v>
      </c>
      <c r="D23" s="19" t="b">
        <v>0</v>
      </c>
      <c r="E23" s="14" t="str">
        <f t="shared" ref="E23:E25" si="8">HYPERLINK("https://www.hybridcalisthenics.com/archer-pushups","#8 Archer Pushups")</f>
        <v>#8 Archer Pushups</v>
      </c>
      <c r="F23" s="15">
        <v>1.0</v>
      </c>
      <c r="G23" s="16" t="s">
        <v>75</v>
      </c>
      <c r="H23" s="19" t="b">
        <v>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62.25" customHeight="1">
      <c r="A24" s="10">
        <f>IFERROR(__xludf.DUMMYFUNCTION("""COMPUTED_VALUE"""),46372.0)</f>
        <v>46372</v>
      </c>
      <c r="B24" s="11" t="s">
        <v>44</v>
      </c>
      <c r="C24" s="12" t="s">
        <v>81</v>
      </c>
      <c r="D24" s="19" t="b">
        <v>0</v>
      </c>
      <c r="E24" s="14" t="str">
        <f t="shared" si="8"/>
        <v>#8 Archer Pushups</v>
      </c>
      <c r="F24" s="20">
        <v>2.0</v>
      </c>
      <c r="G24" s="21" t="s">
        <v>82</v>
      </c>
      <c r="H24" s="19" t="b">
        <v>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62.25" customHeight="1">
      <c r="A25" s="10">
        <f>IFERROR(__xludf.DUMMYFUNCTION("""COMPUTED_VALUE"""),46374.0)</f>
        <v>46374</v>
      </c>
      <c r="B25" s="11" t="s">
        <v>47</v>
      </c>
      <c r="C25" s="12" t="s">
        <v>83</v>
      </c>
      <c r="D25" s="19" t="b">
        <v>0</v>
      </c>
      <c r="E25" s="14" t="str">
        <f t="shared" si="8"/>
        <v>#8 Archer Pushups</v>
      </c>
      <c r="F25" s="22">
        <v>3.0</v>
      </c>
      <c r="G25" s="23" t="s">
        <v>84</v>
      </c>
      <c r="H25" s="19" t="b">
        <v>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62.25" customHeight="1">
      <c r="A26" s="10">
        <f>IFERROR(__xludf.DUMMYFUNCTION("""COMPUTED_VALUE"""),46377.0)</f>
        <v>46377</v>
      </c>
      <c r="B26" s="11" t="s">
        <v>41</v>
      </c>
      <c r="C26" s="12" t="s">
        <v>85</v>
      </c>
      <c r="D26" s="19" t="b">
        <v>0</v>
      </c>
      <c r="E26" s="24" t="str">
        <f t="shared" ref="E26:E28" si="9">HYPERLINK("https://www.hybridcalisthenics.com/sliding-onearm-pushups","#9 Sliding One Arm Pushups")</f>
        <v>#9 Sliding One Arm Pushups</v>
      </c>
      <c r="F26" s="15">
        <v>1.0</v>
      </c>
      <c r="G26" s="16" t="s">
        <v>75</v>
      </c>
      <c r="H26" s="19" t="b"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62.25" customHeight="1">
      <c r="A27" s="10">
        <f>IFERROR(__xludf.DUMMYFUNCTION("""COMPUTED_VALUE"""),46379.0)</f>
        <v>46379</v>
      </c>
      <c r="B27" s="11" t="s">
        <v>44</v>
      </c>
      <c r="C27" s="12" t="s">
        <v>86</v>
      </c>
      <c r="D27" s="19" t="b">
        <v>0</v>
      </c>
      <c r="E27" s="24" t="str">
        <f t="shared" si="9"/>
        <v>#9 Sliding One Arm Pushups</v>
      </c>
      <c r="F27" s="20">
        <v>2.0</v>
      </c>
      <c r="G27" s="21" t="s">
        <v>82</v>
      </c>
      <c r="H27" s="19" t="b"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62.25" customHeight="1">
      <c r="A28" s="10">
        <f>IFERROR(__xludf.DUMMYFUNCTION("""COMPUTED_VALUE"""),46381.0)</f>
        <v>46381</v>
      </c>
      <c r="B28" s="11" t="s">
        <v>47</v>
      </c>
      <c r="C28" s="12" t="s">
        <v>87</v>
      </c>
      <c r="D28" s="19" t="b">
        <v>0</v>
      </c>
      <c r="E28" s="24" t="str">
        <f t="shared" si="9"/>
        <v>#9 Sliding One Arm Pushups</v>
      </c>
      <c r="F28" s="22">
        <v>3.0</v>
      </c>
      <c r="G28" s="23" t="s">
        <v>84</v>
      </c>
      <c r="H28" s="19" t="b"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62.25" customHeight="1">
      <c r="A29" s="10">
        <f>IFERROR(__xludf.DUMMYFUNCTION("""COMPUTED_VALUE"""),46384.0)</f>
        <v>46384</v>
      </c>
      <c r="B29" s="11" t="s">
        <v>41</v>
      </c>
      <c r="C29" s="12" t="s">
        <v>88</v>
      </c>
      <c r="D29" s="19" t="b">
        <v>0</v>
      </c>
      <c r="E29" s="14" t="str">
        <f t="shared" ref="E29:E31" si="10">HYPERLINK("https://www.hybridcalisthenics.com/onearm-pushups","#10 One Arm Pushups")</f>
        <v>#10 One Arm Pushups</v>
      </c>
      <c r="F29" s="15">
        <v>1.0</v>
      </c>
      <c r="G29" s="16" t="s">
        <v>89</v>
      </c>
      <c r="H29" s="19" t="b"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62.25" customHeight="1">
      <c r="A30" s="10">
        <f>IFERROR(__xludf.DUMMYFUNCTION("""COMPUTED_VALUE"""),46386.0)</f>
        <v>46386</v>
      </c>
      <c r="B30" s="11" t="s">
        <v>44</v>
      </c>
      <c r="C30" s="12" t="s">
        <v>90</v>
      </c>
      <c r="D30" s="19" t="b">
        <v>0</v>
      </c>
      <c r="E30" s="14" t="str">
        <f t="shared" si="10"/>
        <v>#10 One Arm Pushups</v>
      </c>
      <c r="F30" s="20">
        <v>2.0</v>
      </c>
      <c r="G30" s="21" t="s">
        <v>91</v>
      </c>
      <c r="H30" s="19" t="b">
        <v>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62.25" customHeight="1">
      <c r="A31" s="10">
        <f>IFERROR(__xludf.DUMMYFUNCTION("""COMPUTED_VALUE"""),46388.0)</f>
        <v>46388</v>
      </c>
      <c r="B31" s="11" t="s">
        <v>47</v>
      </c>
      <c r="C31" s="12" t="s">
        <v>92</v>
      </c>
      <c r="D31" s="19" t="b">
        <v>0</v>
      </c>
      <c r="E31" s="14" t="str">
        <f t="shared" si="10"/>
        <v>#10 One Arm Pushups</v>
      </c>
      <c r="F31" s="22">
        <v>3.0</v>
      </c>
      <c r="G31" s="23" t="s">
        <v>82</v>
      </c>
      <c r="H31" s="19" t="b">
        <v>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62.25" customHeight="1">
      <c r="A32" s="10">
        <f>IFERROR(__xludf.DUMMYFUNCTION("""COMPUTED_VALUE"""),46391.0)</f>
        <v>46391</v>
      </c>
      <c r="B32" s="11" t="s">
        <v>41</v>
      </c>
      <c r="C32" s="12" t="s">
        <v>93</v>
      </c>
      <c r="D32" s="19" t="b">
        <v>0</v>
      </c>
      <c r="E32" s="14" t="str">
        <f t="shared" ref="E32:E34" si="11">HYPERLINK("https://www.hybridcalisthenics.com/advanced-onearm-pushups","#11 Advanced One Arm Pushups")</f>
        <v>#11 Advanced One Arm Pushups</v>
      </c>
      <c r="F32" s="15">
        <v>1.0</v>
      </c>
      <c r="G32" s="16" t="s">
        <v>89</v>
      </c>
      <c r="H32" s="19" t="b">
        <v>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62.25" customHeight="1">
      <c r="A33" s="10">
        <f>IFERROR(__xludf.DUMMYFUNCTION("""COMPUTED_VALUE"""),46393.0)</f>
        <v>46393</v>
      </c>
      <c r="B33" s="11" t="s">
        <v>44</v>
      </c>
      <c r="C33" s="12" t="s">
        <v>94</v>
      </c>
      <c r="D33" s="19" t="b">
        <v>0</v>
      </c>
      <c r="E33" s="14" t="str">
        <f t="shared" si="11"/>
        <v>#11 Advanced One Arm Pushups</v>
      </c>
      <c r="F33" s="20">
        <v>2.0</v>
      </c>
      <c r="G33" s="21" t="s">
        <v>91</v>
      </c>
      <c r="H33" s="19" t="b"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62.25" customHeight="1">
      <c r="A34" s="10">
        <f>IFERROR(__xludf.DUMMYFUNCTION("""COMPUTED_VALUE"""),46395.0)</f>
        <v>46395</v>
      </c>
      <c r="B34" s="11" t="s">
        <v>47</v>
      </c>
      <c r="C34" s="12" t="s">
        <v>95</v>
      </c>
      <c r="D34" s="19" t="b">
        <v>0</v>
      </c>
      <c r="E34" s="14" t="str">
        <f t="shared" si="11"/>
        <v>#11 Advanced One Arm Pushups</v>
      </c>
      <c r="F34" s="22">
        <v>3.0</v>
      </c>
      <c r="G34" s="23" t="s">
        <v>82</v>
      </c>
      <c r="H34" s="19" t="b">
        <v>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62.25" customHeight="1">
      <c r="A35" s="10">
        <f>IFERROR(__xludf.DUMMYFUNCTION("""COMPUTED_VALUE"""),46398.0)</f>
        <v>46398</v>
      </c>
      <c r="B35" s="11" t="s">
        <v>41</v>
      </c>
      <c r="C35" s="12" t="s">
        <v>96</v>
      </c>
      <c r="D35" s="19" t="b">
        <v>0</v>
      </c>
      <c r="E35" s="25"/>
      <c r="F35" s="26"/>
      <c r="G35" s="27"/>
      <c r="H35" s="19" t="b">
        <v>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62.25" customHeight="1">
      <c r="A36" s="10">
        <f>IFERROR(__xludf.DUMMYFUNCTION("""COMPUTED_VALUE"""),46400.0)</f>
        <v>46400</v>
      </c>
      <c r="B36" s="11" t="s">
        <v>44</v>
      </c>
      <c r="C36" s="12" t="s">
        <v>97</v>
      </c>
      <c r="D36" s="19" t="b">
        <v>0</v>
      </c>
      <c r="E36" s="25"/>
      <c r="F36" s="26"/>
      <c r="G36" s="27"/>
      <c r="H36" s="19" t="b">
        <v>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62.25" customHeight="1">
      <c r="A37" s="10">
        <f>IFERROR(__xludf.DUMMYFUNCTION("""COMPUTED_VALUE"""),46402.0)</f>
        <v>46402</v>
      </c>
      <c r="B37" s="11" t="s">
        <v>47</v>
      </c>
      <c r="C37" s="12" t="s">
        <v>98</v>
      </c>
      <c r="D37" s="19" t="b">
        <v>0</v>
      </c>
      <c r="E37" s="25"/>
      <c r="F37" s="26"/>
      <c r="G37" s="27"/>
      <c r="H37" s="19" t="b"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62.25" customHeight="1">
      <c r="A38" s="10">
        <f>IFERROR(__xludf.DUMMYFUNCTION("""COMPUTED_VALUE"""),46405.0)</f>
        <v>46405</v>
      </c>
      <c r="B38" s="11" t="s">
        <v>41</v>
      </c>
      <c r="C38" s="12" t="s">
        <v>99</v>
      </c>
      <c r="D38" s="19" t="b">
        <v>0</v>
      </c>
      <c r="E38" s="25"/>
      <c r="F38" s="26"/>
      <c r="G38" s="27"/>
      <c r="H38" s="19" t="b"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62.25" customHeight="1">
      <c r="A39" s="10">
        <f>IFERROR(__xludf.DUMMYFUNCTION("""COMPUTED_VALUE"""),46407.0)</f>
        <v>46407</v>
      </c>
      <c r="B39" s="11" t="s">
        <v>44</v>
      </c>
      <c r="C39" s="12" t="s">
        <v>100</v>
      </c>
      <c r="D39" s="19" t="b">
        <v>0</v>
      </c>
      <c r="E39" s="25"/>
      <c r="F39" s="26"/>
      <c r="G39" s="27"/>
      <c r="H39" s="19" t="b"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62.25" customHeight="1">
      <c r="A40" s="10">
        <f>IFERROR(__xludf.DUMMYFUNCTION("""COMPUTED_VALUE"""),46409.0)</f>
        <v>46409</v>
      </c>
      <c r="B40" s="11" t="s">
        <v>47</v>
      </c>
      <c r="C40" s="12" t="s">
        <v>101</v>
      </c>
      <c r="D40" s="19" t="b">
        <v>0</v>
      </c>
      <c r="E40" s="25"/>
      <c r="F40" s="26"/>
      <c r="G40" s="27"/>
      <c r="H40" s="19" t="b"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62.25" customHeight="1">
      <c r="A41" s="10">
        <f>IFERROR(__xludf.DUMMYFUNCTION("""COMPUTED_VALUE"""),46412.0)</f>
        <v>46412</v>
      </c>
      <c r="B41" s="11" t="s">
        <v>41</v>
      </c>
      <c r="C41" s="12" t="s">
        <v>102</v>
      </c>
      <c r="D41" s="19" t="b">
        <v>0</v>
      </c>
      <c r="E41" s="25"/>
      <c r="F41" s="26"/>
      <c r="G41" s="27"/>
      <c r="H41" s="19" t="b">
        <v>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62.25" customHeight="1">
      <c r="A42" s="10">
        <f>IFERROR(__xludf.DUMMYFUNCTION("""COMPUTED_VALUE"""),46414.0)</f>
        <v>46414</v>
      </c>
      <c r="B42" s="11" t="s">
        <v>44</v>
      </c>
      <c r="C42" s="12" t="s">
        <v>103</v>
      </c>
      <c r="D42" s="19" t="b">
        <v>0</v>
      </c>
      <c r="E42" s="25"/>
      <c r="F42" s="26"/>
      <c r="G42" s="27"/>
      <c r="H42" s="19" t="b">
        <v>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62.25" customHeight="1">
      <c r="A43" s="10">
        <f>IFERROR(__xludf.DUMMYFUNCTION("""COMPUTED_VALUE"""),46416.0)</f>
        <v>46416</v>
      </c>
      <c r="B43" s="11" t="s">
        <v>47</v>
      </c>
      <c r="C43" s="12" t="s">
        <v>104</v>
      </c>
      <c r="D43" s="19" t="b">
        <v>0</v>
      </c>
      <c r="E43" s="25"/>
      <c r="F43" s="26"/>
      <c r="G43" s="27"/>
      <c r="H43" s="19" t="b"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62.25" customHeight="1">
      <c r="A44" s="10">
        <f>IFERROR(__xludf.DUMMYFUNCTION("""COMPUTED_VALUE"""),46419.0)</f>
        <v>46419</v>
      </c>
      <c r="B44" s="11" t="s">
        <v>41</v>
      </c>
      <c r="C44" s="12" t="s">
        <v>105</v>
      </c>
      <c r="D44" s="19" t="b">
        <v>0</v>
      </c>
      <c r="E44" s="25"/>
      <c r="F44" s="26"/>
      <c r="G44" s="27"/>
      <c r="H44" s="19" t="b">
        <v>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62.25" customHeight="1">
      <c r="A45" s="10">
        <f>IFERROR(__xludf.DUMMYFUNCTION("""COMPUTED_VALUE"""),46421.0)</f>
        <v>46421</v>
      </c>
      <c r="B45" s="11" t="s">
        <v>44</v>
      </c>
      <c r="C45" s="12" t="s">
        <v>106</v>
      </c>
      <c r="D45" s="19" t="b">
        <v>0</v>
      </c>
      <c r="E45" s="25"/>
      <c r="F45" s="26"/>
      <c r="G45" s="27"/>
      <c r="H45" s="19" t="b">
        <v>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62.25" customHeight="1">
      <c r="A46" s="10">
        <f>IFERROR(__xludf.DUMMYFUNCTION("""COMPUTED_VALUE"""),46423.0)</f>
        <v>46423</v>
      </c>
      <c r="B46" s="11" t="s">
        <v>47</v>
      </c>
      <c r="C46" s="12" t="s">
        <v>107</v>
      </c>
      <c r="D46" s="19" t="b">
        <v>0</v>
      </c>
      <c r="E46" s="25"/>
      <c r="F46" s="26"/>
      <c r="G46" s="27"/>
      <c r="H46" s="19" t="b">
        <v>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62.25" customHeight="1">
      <c r="A47" s="10">
        <f>IFERROR(__xludf.DUMMYFUNCTION("""COMPUTED_VALUE"""),46426.0)</f>
        <v>46426</v>
      </c>
      <c r="B47" s="11" t="s">
        <v>41</v>
      </c>
      <c r="C47" s="12" t="s">
        <v>108</v>
      </c>
      <c r="D47" s="19" t="b">
        <v>0</v>
      </c>
      <c r="E47" s="25"/>
      <c r="F47" s="26"/>
      <c r="G47" s="27"/>
      <c r="H47" s="19" t="b">
        <v>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62.25" customHeight="1">
      <c r="A48" s="10">
        <f>IFERROR(__xludf.DUMMYFUNCTION("""COMPUTED_VALUE"""),46428.0)</f>
        <v>46428</v>
      </c>
      <c r="B48" s="11" t="s">
        <v>44</v>
      </c>
      <c r="C48" s="12" t="s">
        <v>109</v>
      </c>
      <c r="D48" s="19" t="b">
        <v>0</v>
      </c>
      <c r="E48" s="25"/>
      <c r="F48" s="26"/>
      <c r="G48" s="27"/>
      <c r="H48" s="19" t="b"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62.25" customHeight="1">
      <c r="A49" s="10">
        <f>IFERROR(__xludf.DUMMYFUNCTION("""COMPUTED_VALUE"""),46430.0)</f>
        <v>46430</v>
      </c>
      <c r="B49" s="11" t="s">
        <v>47</v>
      </c>
      <c r="C49" s="12" t="s">
        <v>110</v>
      </c>
      <c r="D49" s="19" t="b">
        <v>0</v>
      </c>
      <c r="E49" s="25"/>
      <c r="F49" s="26"/>
      <c r="G49" s="27"/>
      <c r="H49" s="19" t="b"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62.25" customHeight="1">
      <c r="A50" s="10">
        <f>IFERROR(__xludf.DUMMYFUNCTION("""COMPUTED_VALUE"""),46433.0)</f>
        <v>46433</v>
      </c>
      <c r="B50" s="11" t="s">
        <v>41</v>
      </c>
      <c r="C50" s="12" t="s">
        <v>111</v>
      </c>
      <c r="D50" s="19" t="b">
        <v>0</v>
      </c>
      <c r="E50" s="25"/>
      <c r="F50" s="26"/>
      <c r="G50" s="27"/>
      <c r="H50" s="19" t="b"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62.25" customHeight="1">
      <c r="A51" s="10">
        <f>IFERROR(__xludf.DUMMYFUNCTION("""COMPUTED_VALUE"""),46435.0)</f>
        <v>46435</v>
      </c>
      <c r="B51" s="11" t="s">
        <v>44</v>
      </c>
      <c r="C51" s="12" t="s">
        <v>112</v>
      </c>
      <c r="D51" s="19" t="b">
        <v>0</v>
      </c>
      <c r="E51" s="25"/>
      <c r="F51" s="26"/>
      <c r="G51" s="27"/>
      <c r="H51" s="19" t="b">
        <v>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62.25" customHeight="1">
      <c r="A52" s="10">
        <f>IFERROR(__xludf.DUMMYFUNCTION("""COMPUTED_VALUE"""),46437.0)</f>
        <v>46437</v>
      </c>
      <c r="B52" s="11" t="s">
        <v>47</v>
      </c>
      <c r="C52" s="12" t="s">
        <v>113</v>
      </c>
      <c r="D52" s="19" t="b">
        <v>0</v>
      </c>
      <c r="E52" s="25"/>
      <c r="F52" s="26"/>
      <c r="G52" s="27"/>
      <c r="H52" s="19" t="b">
        <v>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62.25" customHeight="1">
      <c r="A53" s="10">
        <f>IFERROR(__xludf.DUMMYFUNCTION("""COMPUTED_VALUE"""),46440.0)</f>
        <v>46440</v>
      </c>
      <c r="B53" s="11" t="s">
        <v>41</v>
      </c>
      <c r="C53" s="12" t="s">
        <v>114</v>
      </c>
      <c r="D53" s="19" t="b">
        <v>0</v>
      </c>
      <c r="E53" s="25"/>
      <c r="F53" s="26"/>
      <c r="G53" s="27"/>
      <c r="H53" s="19" t="b">
        <v>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62.25" customHeight="1">
      <c r="A54" s="10">
        <f>IFERROR(__xludf.DUMMYFUNCTION("""COMPUTED_VALUE"""),46442.0)</f>
        <v>46442</v>
      </c>
      <c r="B54" s="11" t="s">
        <v>44</v>
      </c>
      <c r="C54" s="12" t="s">
        <v>115</v>
      </c>
      <c r="D54" s="19" t="b">
        <v>0</v>
      </c>
      <c r="E54" s="25"/>
      <c r="F54" s="26"/>
      <c r="G54" s="27"/>
      <c r="H54" s="19" t="b"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62.25" customHeight="1">
      <c r="A55" s="10">
        <f>IFERROR(__xludf.DUMMYFUNCTION("""COMPUTED_VALUE"""),46444.0)</f>
        <v>46444</v>
      </c>
      <c r="B55" s="11" t="s">
        <v>47</v>
      </c>
      <c r="C55" s="12" t="s">
        <v>116</v>
      </c>
      <c r="D55" s="19" t="b">
        <v>0</v>
      </c>
      <c r="E55" s="25"/>
      <c r="F55" s="26"/>
      <c r="G55" s="27"/>
      <c r="H55" s="19" t="b"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62.25" customHeight="1">
      <c r="A56" s="10">
        <f>IFERROR(__xludf.DUMMYFUNCTION("""COMPUTED_VALUE"""),46447.0)</f>
        <v>46447</v>
      </c>
      <c r="B56" s="11" t="s">
        <v>41</v>
      </c>
      <c r="C56" s="12" t="s">
        <v>117</v>
      </c>
      <c r="D56" s="19" t="b">
        <v>0</v>
      </c>
      <c r="E56" s="25"/>
      <c r="F56" s="26"/>
      <c r="G56" s="27"/>
      <c r="H56" s="19" t="b"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62.25" customHeight="1">
      <c r="A57" s="10">
        <f>IFERROR(__xludf.DUMMYFUNCTION("""COMPUTED_VALUE"""),46449.0)</f>
        <v>46449</v>
      </c>
      <c r="B57" s="11" t="s">
        <v>44</v>
      </c>
      <c r="C57" s="12" t="s">
        <v>118</v>
      </c>
      <c r="D57" s="19" t="b">
        <v>0</v>
      </c>
      <c r="E57" s="25"/>
      <c r="F57" s="26"/>
      <c r="G57" s="27"/>
      <c r="H57" s="19" t="b">
        <v>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62.25" customHeight="1">
      <c r="A58" s="10">
        <f>IFERROR(__xludf.DUMMYFUNCTION("""COMPUTED_VALUE"""),46451.0)</f>
        <v>46451</v>
      </c>
      <c r="B58" s="11" t="s">
        <v>47</v>
      </c>
      <c r="C58" s="12" t="s">
        <v>119</v>
      </c>
      <c r="D58" s="19" t="b">
        <v>0</v>
      </c>
      <c r="E58" s="25"/>
      <c r="F58" s="26"/>
      <c r="G58" s="27"/>
      <c r="H58" s="19" t="b">
        <v>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62.25" customHeight="1">
      <c r="A59" s="10">
        <f>IFERROR(__xludf.DUMMYFUNCTION("""COMPUTED_VALUE"""),46454.0)</f>
        <v>46454</v>
      </c>
      <c r="B59" s="11" t="s">
        <v>41</v>
      </c>
      <c r="C59" s="12" t="s">
        <v>120</v>
      </c>
      <c r="D59" s="19" t="b">
        <v>0</v>
      </c>
      <c r="E59" s="25"/>
      <c r="F59" s="26"/>
      <c r="G59" s="27"/>
      <c r="H59" s="19" t="b">
        <v>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62.25" customHeight="1">
      <c r="A60" s="10">
        <f>IFERROR(__xludf.DUMMYFUNCTION("""COMPUTED_VALUE"""),46456.0)</f>
        <v>46456</v>
      </c>
      <c r="B60" s="11" t="s">
        <v>44</v>
      </c>
      <c r="C60" s="12" t="s">
        <v>121</v>
      </c>
      <c r="D60" s="19" t="b">
        <v>0</v>
      </c>
      <c r="E60" s="25"/>
      <c r="F60" s="26"/>
      <c r="G60" s="27"/>
      <c r="H60" s="19" t="b">
        <v>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62.25" customHeight="1">
      <c r="A61" s="10">
        <f>IFERROR(__xludf.DUMMYFUNCTION("""COMPUTED_VALUE"""),46458.0)</f>
        <v>46458</v>
      </c>
      <c r="B61" s="11" t="s">
        <v>47</v>
      </c>
      <c r="C61" s="12" t="s">
        <v>122</v>
      </c>
      <c r="D61" s="19" t="b">
        <v>0</v>
      </c>
      <c r="E61" s="25"/>
      <c r="F61" s="26"/>
      <c r="G61" s="27"/>
      <c r="H61" s="19" t="b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62.25" customHeight="1">
      <c r="A62" s="10">
        <f>IFERROR(__xludf.DUMMYFUNCTION("""COMPUTED_VALUE"""),46461.0)</f>
        <v>46461</v>
      </c>
      <c r="B62" s="11" t="s">
        <v>41</v>
      </c>
      <c r="C62" s="12" t="s">
        <v>123</v>
      </c>
      <c r="D62" s="19" t="b">
        <v>0</v>
      </c>
      <c r="E62" s="25"/>
      <c r="F62" s="26"/>
      <c r="G62" s="27"/>
      <c r="H62" s="19" t="b">
        <v>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62.25" customHeight="1">
      <c r="A63" s="10">
        <f>IFERROR(__xludf.DUMMYFUNCTION("""COMPUTED_VALUE"""),46463.0)</f>
        <v>46463</v>
      </c>
      <c r="B63" s="11" t="s">
        <v>44</v>
      </c>
      <c r="C63" s="12" t="s">
        <v>124</v>
      </c>
      <c r="D63" s="19" t="b">
        <v>0</v>
      </c>
      <c r="E63" s="25"/>
      <c r="F63" s="26"/>
      <c r="G63" s="27"/>
      <c r="H63" s="19" t="b">
        <v>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62.25" customHeight="1">
      <c r="A64" s="10">
        <f>IFERROR(__xludf.DUMMYFUNCTION("""COMPUTED_VALUE"""),46465.0)</f>
        <v>46465</v>
      </c>
      <c r="B64" s="11" t="s">
        <v>47</v>
      </c>
      <c r="C64" s="12" t="s">
        <v>125</v>
      </c>
      <c r="D64" s="19" t="b">
        <v>0</v>
      </c>
      <c r="E64" s="25"/>
      <c r="F64" s="26"/>
      <c r="G64" s="27"/>
      <c r="H64" s="19" t="b">
        <v>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62.25" customHeight="1">
      <c r="A65" s="10">
        <f>IFERROR(__xludf.DUMMYFUNCTION("""COMPUTED_VALUE"""),46468.0)</f>
        <v>46468</v>
      </c>
      <c r="B65" s="11" t="s">
        <v>41</v>
      </c>
      <c r="C65" s="12" t="s">
        <v>126</v>
      </c>
      <c r="D65" s="19" t="b">
        <v>0</v>
      </c>
      <c r="E65" s="25"/>
      <c r="F65" s="26"/>
      <c r="G65" s="27"/>
      <c r="H65" s="19" t="b">
        <v>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62.25" customHeight="1">
      <c r="A66" s="10">
        <f>IFERROR(__xludf.DUMMYFUNCTION("""COMPUTED_VALUE"""),46470.0)</f>
        <v>46470</v>
      </c>
      <c r="B66" s="11" t="s">
        <v>44</v>
      </c>
      <c r="C66" s="12" t="s">
        <v>127</v>
      </c>
      <c r="D66" s="19" t="b">
        <v>0</v>
      </c>
      <c r="E66" s="25"/>
      <c r="F66" s="26"/>
      <c r="G66" s="27"/>
      <c r="H66" s="19" t="b">
        <v>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62.25" customHeight="1">
      <c r="A67" s="10">
        <f>IFERROR(__xludf.DUMMYFUNCTION("""COMPUTED_VALUE"""),46472.0)</f>
        <v>46472</v>
      </c>
      <c r="B67" s="11" t="s">
        <v>47</v>
      </c>
      <c r="C67" s="12" t="s">
        <v>128</v>
      </c>
      <c r="D67" s="19" t="b">
        <v>0</v>
      </c>
      <c r="E67" s="25"/>
      <c r="F67" s="26"/>
      <c r="G67" s="27"/>
      <c r="H67" s="19" t="b">
        <v>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62.25" customHeight="1">
      <c r="A68" s="10">
        <f>IFERROR(__xludf.DUMMYFUNCTION("""COMPUTED_VALUE"""),46475.0)</f>
        <v>46475</v>
      </c>
      <c r="B68" s="11" t="s">
        <v>41</v>
      </c>
      <c r="C68" s="12" t="s">
        <v>129</v>
      </c>
      <c r="D68" s="19" t="b">
        <v>0</v>
      </c>
      <c r="E68" s="25"/>
      <c r="F68" s="26"/>
      <c r="G68" s="27"/>
      <c r="H68" s="19" t="b">
        <v>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62.25" customHeight="1">
      <c r="A69" s="10">
        <f>IFERROR(__xludf.DUMMYFUNCTION("""COMPUTED_VALUE"""),46477.0)</f>
        <v>46477</v>
      </c>
      <c r="B69" s="11" t="s">
        <v>44</v>
      </c>
      <c r="C69" s="12" t="s">
        <v>130</v>
      </c>
      <c r="D69" s="19" t="b">
        <v>0</v>
      </c>
      <c r="E69" s="25"/>
      <c r="F69" s="26"/>
      <c r="G69" s="27"/>
      <c r="H69" s="19" t="b">
        <v>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62.25" customHeight="1">
      <c r="A70" s="10">
        <f>IFERROR(__xludf.DUMMYFUNCTION("""COMPUTED_VALUE"""),46479.0)</f>
        <v>46479</v>
      </c>
      <c r="B70" s="11" t="s">
        <v>47</v>
      </c>
      <c r="C70" s="12" t="s">
        <v>131</v>
      </c>
      <c r="D70" s="19" t="b">
        <v>0</v>
      </c>
      <c r="E70" s="25"/>
      <c r="F70" s="26"/>
      <c r="G70" s="27"/>
      <c r="H70" s="19" t="b">
        <v>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62.25" customHeight="1">
      <c r="A71" s="10">
        <f>IFERROR(__xludf.DUMMYFUNCTION("""COMPUTED_VALUE"""),46482.0)</f>
        <v>46482</v>
      </c>
      <c r="B71" s="11" t="s">
        <v>41</v>
      </c>
      <c r="C71" s="12" t="s">
        <v>132</v>
      </c>
      <c r="D71" s="19" t="b">
        <v>0</v>
      </c>
      <c r="E71" s="25"/>
      <c r="F71" s="26"/>
      <c r="G71" s="27"/>
      <c r="H71" s="19" t="b"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62.25" customHeight="1">
      <c r="A72" s="10">
        <f>IFERROR(__xludf.DUMMYFUNCTION("""COMPUTED_VALUE"""),46484.0)</f>
        <v>46484</v>
      </c>
      <c r="B72" s="11" t="s">
        <v>44</v>
      </c>
      <c r="C72" s="12" t="s">
        <v>133</v>
      </c>
      <c r="D72" s="19" t="b">
        <v>0</v>
      </c>
      <c r="E72" s="25"/>
      <c r="F72" s="26"/>
      <c r="G72" s="27"/>
      <c r="H72" s="19" t="b">
        <v>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62.25" customHeight="1">
      <c r="A73" s="10">
        <f>IFERROR(__xludf.DUMMYFUNCTION("""COMPUTED_VALUE"""),46486.0)</f>
        <v>46486</v>
      </c>
      <c r="B73" s="11" t="s">
        <v>47</v>
      </c>
      <c r="C73" s="12" t="s">
        <v>134</v>
      </c>
      <c r="D73" s="19" t="b">
        <v>0</v>
      </c>
      <c r="E73" s="25"/>
      <c r="F73" s="26"/>
      <c r="G73" s="27"/>
      <c r="H73" s="19" t="b">
        <v>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62.25" customHeight="1">
      <c r="A74" s="10">
        <f>IFERROR(__xludf.DUMMYFUNCTION("""COMPUTED_VALUE"""),46489.0)</f>
        <v>46489</v>
      </c>
      <c r="B74" s="11" t="s">
        <v>41</v>
      </c>
      <c r="C74" s="12" t="s">
        <v>135</v>
      </c>
      <c r="D74" s="19" t="b">
        <v>0</v>
      </c>
      <c r="E74" s="25"/>
      <c r="F74" s="26"/>
      <c r="G74" s="27"/>
      <c r="H74" s="19" t="b">
        <v>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62.25" customHeight="1">
      <c r="A75" s="10">
        <f>IFERROR(__xludf.DUMMYFUNCTION("""COMPUTED_VALUE"""),46491.0)</f>
        <v>46491</v>
      </c>
      <c r="B75" s="11" t="s">
        <v>44</v>
      </c>
      <c r="C75" s="12" t="s">
        <v>136</v>
      </c>
      <c r="D75" s="19" t="b">
        <v>0</v>
      </c>
      <c r="E75" s="25"/>
      <c r="F75" s="26"/>
      <c r="G75" s="27"/>
      <c r="H75" s="19" t="b">
        <v>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62.25" customHeight="1">
      <c r="A76" s="10">
        <f>IFERROR(__xludf.DUMMYFUNCTION("""COMPUTED_VALUE"""),46493.0)</f>
        <v>46493</v>
      </c>
      <c r="B76" s="11" t="s">
        <v>47</v>
      </c>
      <c r="C76" s="12" t="s">
        <v>137</v>
      </c>
      <c r="D76" s="19" t="b">
        <v>0</v>
      </c>
      <c r="E76" s="25"/>
      <c r="F76" s="26"/>
      <c r="G76" s="27"/>
      <c r="H76" s="19" t="b">
        <v>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62.25" customHeight="1">
      <c r="A77" s="10">
        <f>IFERROR(__xludf.DUMMYFUNCTION("""COMPUTED_VALUE"""),46496.0)</f>
        <v>46496</v>
      </c>
      <c r="B77" s="11" t="s">
        <v>41</v>
      </c>
      <c r="C77" s="12" t="s">
        <v>138</v>
      </c>
      <c r="D77" s="19" t="b">
        <v>0</v>
      </c>
      <c r="E77" s="25"/>
      <c r="F77" s="26"/>
      <c r="G77" s="27"/>
      <c r="H77" s="19" t="b">
        <v>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62.25" customHeight="1">
      <c r="A78" s="10">
        <f>IFERROR(__xludf.DUMMYFUNCTION("""COMPUTED_VALUE"""),46498.0)</f>
        <v>46498</v>
      </c>
      <c r="B78" s="11" t="s">
        <v>44</v>
      </c>
      <c r="C78" s="12" t="s">
        <v>139</v>
      </c>
      <c r="D78" s="19" t="b">
        <v>0</v>
      </c>
      <c r="E78" s="25"/>
      <c r="F78" s="26"/>
      <c r="G78" s="27"/>
      <c r="H78" s="19" t="b">
        <v>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62.25" customHeight="1">
      <c r="A79" s="10">
        <f>IFERROR(__xludf.DUMMYFUNCTION("""COMPUTED_VALUE"""),46500.0)</f>
        <v>46500</v>
      </c>
      <c r="B79" s="11" t="s">
        <v>47</v>
      </c>
      <c r="C79" s="12" t="s">
        <v>140</v>
      </c>
      <c r="D79" s="19" t="b">
        <v>0</v>
      </c>
      <c r="E79" s="25"/>
      <c r="F79" s="26"/>
      <c r="G79" s="27"/>
      <c r="H79" s="19" t="b">
        <v>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62.25" customHeight="1">
      <c r="A80" s="10">
        <f>IFERROR(__xludf.DUMMYFUNCTION("""COMPUTED_VALUE"""),46503.0)</f>
        <v>46503</v>
      </c>
      <c r="B80" s="11" t="s">
        <v>41</v>
      </c>
      <c r="C80" s="12" t="s">
        <v>141</v>
      </c>
      <c r="D80" s="19" t="b">
        <v>0</v>
      </c>
      <c r="E80" s="25"/>
      <c r="F80" s="26"/>
      <c r="G80" s="27"/>
      <c r="H80" s="19" t="b">
        <v>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62.25" customHeight="1">
      <c r="A81" s="10">
        <f>IFERROR(__xludf.DUMMYFUNCTION("""COMPUTED_VALUE"""),46505.0)</f>
        <v>46505</v>
      </c>
      <c r="B81" s="11" t="s">
        <v>44</v>
      </c>
      <c r="C81" s="12" t="s">
        <v>142</v>
      </c>
      <c r="D81" s="19" t="b">
        <v>0</v>
      </c>
      <c r="E81" s="25"/>
      <c r="F81" s="26"/>
      <c r="G81" s="27"/>
      <c r="H81" s="19" t="b">
        <v>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62.25" customHeight="1">
      <c r="A82" s="10">
        <f>IFERROR(__xludf.DUMMYFUNCTION("""COMPUTED_VALUE"""),46507.0)</f>
        <v>46507</v>
      </c>
      <c r="B82" s="11" t="s">
        <v>47</v>
      </c>
      <c r="C82" s="12" t="s">
        <v>143</v>
      </c>
      <c r="D82" s="19" t="b">
        <v>0</v>
      </c>
      <c r="E82" s="25"/>
      <c r="F82" s="26"/>
      <c r="G82" s="27"/>
      <c r="H82" s="19" t="b">
        <v>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62.25" customHeight="1">
      <c r="A83" s="10">
        <f>IFERROR(__xludf.DUMMYFUNCTION("""COMPUTED_VALUE"""),46510.0)</f>
        <v>46510</v>
      </c>
      <c r="B83" s="11" t="s">
        <v>41</v>
      </c>
      <c r="C83" s="12" t="s">
        <v>144</v>
      </c>
      <c r="D83" s="19" t="b">
        <v>0</v>
      </c>
      <c r="E83" s="25"/>
      <c r="F83" s="26"/>
      <c r="G83" s="27"/>
      <c r="H83" s="19" t="b"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62.25" customHeight="1">
      <c r="A84" s="10">
        <f>IFERROR(__xludf.DUMMYFUNCTION("""COMPUTED_VALUE"""),46512.0)</f>
        <v>46512</v>
      </c>
      <c r="B84" s="11" t="s">
        <v>44</v>
      </c>
      <c r="C84" s="12" t="s">
        <v>145</v>
      </c>
      <c r="D84" s="19" t="b">
        <v>0</v>
      </c>
      <c r="E84" s="25"/>
      <c r="F84" s="26"/>
      <c r="G84" s="27"/>
      <c r="H84" s="19" t="b"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62.25" customHeight="1">
      <c r="A85" s="10">
        <f>IFERROR(__xludf.DUMMYFUNCTION("""COMPUTED_VALUE"""),46514.0)</f>
        <v>46514</v>
      </c>
      <c r="B85" s="11" t="s">
        <v>47</v>
      </c>
      <c r="C85" s="12" t="s">
        <v>146</v>
      </c>
      <c r="D85" s="19" t="b">
        <v>0</v>
      </c>
      <c r="E85" s="25"/>
      <c r="F85" s="26"/>
      <c r="G85" s="27"/>
      <c r="H85" s="19" t="b">
        <v>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62.25" customHeight="1">
      <c r="A86" s="10">
        <f>IFERROR(__xludf.DUMMYFUNCTION("""COMPUTED_VALUE"""),46517.0)</f>
        <v>46517</v>
      </c>
      <c r="B86" s="11" t="s">
        <v>41</v>
      </c>
      <c r="C86" s="12" t="s">
        <v>147</v>
      </c>
      <c r="D86" s="19" t="b">
        <v>0</v>
      </c>
      <c r="E86" s="25"/>
      <c r="F86" s="26"/>
      <c r="G86" s="27"/>
      <c r="H86" s="19" t="b">
        <v>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62.25" customHeight="1">
      <c r="A87" s="10">
        <f>IFERROR(__xludf.DUMMYFUNCTION("""COMPUTED_VALUE"""),46519.0)</f>
        <v>46519</v>
      </c>
      <c r="B87" s="11" t="s">
        <v>44</v>
      </c>
      <c r="C87" s="12" t="s">
        <v>148</v>
      </c>
      <c r="D87" s="19" t="b">
        <v>0</v>
      </c>
      <c r="E87" s="25"/>
      <c r="F87" s="26"/>
      <c r="G87" s="27"/>
      <c r="H87" s="19" t="b"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62.25" customHeight="1">
      <c r="A88" s="10">
        <f>IFERROR(__xludf.DUMMYFUNCTION("""COMPUTED_VALUE"""),46521.0)</f>
        <v>46521</v>
      </c>
      <c r="B88" s="11" t="s">
        <v>47</v>
      </c>
      <c r="C88" s="12" t="s">
        <v>149</v>
      </c>
      <c r="D88" s="19" t="b">
        <v>0</v>
      </c>
      <c r="E88" s="25"/>
      <c r="F88" s="26"/>
      <c r="G88" s="27"/>
      <c r="H88" s="19" t="b">
        <v>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62.25" customHeight="1">
      <c r="A89" s="10">
        <f>IFERROR(__xludf.DUMMYFUNCTION("""COMPUTED_VALUE"""),46524.0)</f>
        <v>46524</v>
      </c>
      <c r="B89" s="11" t="s">
        <v>41</v>
      </c>
      <c r="C89" s="12" t="s">
        <v>150</v>
      </c>
      <c r="D89" s="19" t="b">
        <v>0</v>
      </c>
      <c r="E89" s="25"/>
      <c r="F89" s="26"/>
      <c r="G89" s="27"/>
      <c r="H89" s="19" t="b">
        <v>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62.25" customHeight="1">
      <c r="A90" s="10">
        <f>IFERROR(__xludf.DUMMYFUNCTION("""COMPUTED_VALUE"""),46526.0)</f>
        <v>46526</v>
      </c>
      <c r="B90" s="11" t="s">
        <v>44</v>
      </c>
      <c r="C90" s="12" t="s">
        <v>151</v>
      </c>
      <c r="D90" s="19" t="b">
        <v>0</v>
      </c>
      <c r="E90" s="25"/>
      <c r="F90" s="26"/>
      <c r="G90" s="27"/>
      <c r="H90" s="19" t="b">
        <v>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62.25" customHeight="1">
      <c r="A91" s="10">
        <f>IFERROR(__xludf.DUMMYFUNCTION("""COMPUTED_VALUE"""),46528.0)</f>
        <v>46528</v>
      </c>
      <c r="B91" s="11" t="s">
        <v>47</v>
      </c>
      <c r="C91" s="12" t="s">
        <v>152</v>
      </c>
      <c r="D91" s="19" t="b">
        <v>0</v>
      </c>
      <c r="E91" s="25"/>
      <c r="F91" s="26"/>
      <c r="G91" s="27"/>
      <c r="H91" s="19" t="b"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62.25" customHeight="1">
      <c r="A92" s="10">
        <f>IFERROR(__xludf.DUMMYFUNCTION("""COMPUTED_VALUE"""),46531.0)</f>
        <v>46531</v>
      </c>
      <c r="B92" s="11" t="s">
        <v>41</v>
      </c>
      <c r="C92" s="12" t="s">
        <v>153</v>
      </c>
      <c r="D92" s="19" t="b">
        <v>0</v>
      </c>
      <c r="E92" s="25"/>
      <c r="F92" s="26"/>
      <c r="G92" s="27"/>
      <c r="H92" s="19" t="b">
        <v>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62.25" customHeight="1">
      <c r="A93" s="10">
        <f>IFERROR(__xludf.DUMMYFUNCTION("""COMPUTED_VALUE"""),46533.0)</f>
        <v>46533</v>
      </c>
      <c r="B93" s="11" t="s">
        <v>44</v>
      </c>
      <c r="C93" s="12" t="s">
        <v>154</v>
      </c>
      <c r="D93" s="19" t="b">
        <v>0</v>
      </c>
      <c r="E93" s="25"/>
      <c r="F93" s="26"/>
      <c r="G93" s="27"/>
      <c r="H93" s="19" t="b"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62.25" customHeight="1">
      <c r="A94" s="10">
        <f>IFERROR(__xludf.DUMMYFUNCTION("""COMPUTED_VALUE"""),46535.0)</f>
        <v>46535</v>
      </c>
      <c r="B94" s="11" t="s">
        <v>47</v>
      </c>
      <c r="C94" s="12" t="s">
        <v>155</v>
      </c>
      <c r="D94" s="19" t="b">
        <v>0</v>
      </c>
      <c r="E94" s="25"/>
      <c r="F94" s="26"/>
      <c r="G94" s="27"/>
      <c r="H94" s="19" t="b">
        <v>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62.25" customHeight="1">
      <c r="A95" s="10">
        <f>IFERROR(__xludf.DUMMYFUNCTION("""COMPUTED_VALUE"""),46538.0)</f>
        <v>46538</v>
      </c>
      <c r="B95" s="11" t="s">
        <v>41</v>
      </c>
      <c r="C95" s="12" t="s">
        <v>156</v>
      </c>
      <c r="D95" s="19" t="b">
        <v>0</v>
      </c>
      <c r="E95" s="25"/>
      <c r="F95" s="26"/>
      <c r="G95" s="27"/>
      <c r="H95" s="19" t="b">
        <v>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62.25" customHeight="1">
      <c r="A96" s="10">
        <f>IFERROR(__xludf.DUMMYFUNCTION("""COMPUTED_VALUE"""),46540.0)</f>
        <v>46540</v>
      </c>
      <c r="B96" s="11" t="s">
        <v>44</v>
      </c>
      <c r="C96" s="12" t="s">
        <v>157</v>
      </c>
      <c r="D96" s="19" t="b">
        <v>0</v>
      </c>
      <c r="E96" s="25"/>
      <c r="F96" s="26"/>
      <c r="G96" s="27"/>
      <c r="H96" s="19" t="b">
        <v>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62.25" customHeight="1">
      <c r="A97" s="10">
        <f>IFERROR(__xludf.DUMMYFUNCTION("""COMPUTED_VALUE"""),46542.0)</f>
        <v>46542</v>
      </c>
      <c r="B97" s="11" t="s">
        <v>47</v>
      </c>
      <c r="C97" s="12" t="s">
        <v>158</v>
      </c>
      <c r="D97" s="19" t="b">
        <v>0</v>
      </c>
      <c r="E97" s="25"/>
      <c r="F97" s="26"/>
      <c r="G97" s="27"/>
      <c r="H97" s="19" t="b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62.25" customHeight="1">
      <c r="A98" s="10">
        <f>IFERROR(__xludf.DUMMYFUNCTION("""COMPUTED_VALUE"""),46545.0)</f>
        <v>46545</v>
      </c>
      <c r="B98" s="11" t="s">
        <v>41</v>
      </c>
      <c r="C98" s="12" t="s">
        <v>159</v>
      </c>
      <c r="D98" s="19" t="b">
        <v>0</v>
      </c>
      <c r="E98" s="25"/>
      <c r="F98" s="26"/>
      <c r="G98" s="27"/>
      <c r="H98" s="19" t="b">
        <v>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62.25" customHeight="1">
      <c r="A99" s="10">
        <f>IFERROR(__xludf.DUMMYFUNCTION("""COMPUTED_VALUE"""),46547.0)</f>
        <v>46547</v>
      </c>
      <c r="B99" s="11" t="s">
        <v>44</v>
      </c>
      <c r="C99" s="12" t="s">
        <v>160</v>
      </c>
      <c r="D99" s="19" t="b">
        <v>0</v>
      </c>
      <c r="E99" s="25"/>
      <c r="F99" s="26"/>
      <c r="G99" s="27"/>
      <c r="H99" s="19" t="b">
        <v>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62.25" customHeight="1">
      <c r="A100" s="10">
        <f>IFERROR(__xludf.DUMMYFUNCTION("""COMPUTED_VALUE"""),46549.0)</f>
        <v>46549</v>
      </c>
      <c r="B100" s="11" t="s">
        <v>47</v>
      </c>
      <c r="C100" s="12" t="s">
        <v>161</v>
      </c>
      <c r="D100" s="19" t="b">
        <v>0</v>
      </c>
      <c r="E100" s="25"/>
      <c r="F100" s="26"/>
      <c r="G100" s="27"/>
      <c r="H100" s="19" t="b">
        <v>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62.25" customHeight="1">
      <c r="A101" s="10">
        <f>IFERROR(__xludf.DUMMYFUNCTION("""COMPUTED_VALUE"""),46552.0)</f>
        <v>46552</v>
      </c>
      <c r="B101" s="11" t="s">
        <v>41</v>
      </c>
      <c r="C101" s="12" t="s">
        <v>162</v>
      </c>
      <c r="D101" s="19" t="b">
        <v>0</v>
      </c>
      <c r="E101" s="25"/>
      <c r="F101" s="26"/>
      <c r="G101" s="27"/>
      <c r="H101" s="19" t="b">
        <v>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62.25" customHeight="1">
      <c r="A102" s="10">
        <f>IFERROR(__xludf.DUMMYFUNCTION("""COMPUTED_VALUE"""),46554.0)</f>
        <v>46554</v>
      </c>
      <c r="B102" s="11" t="s">
        <v>44</v>
      </c>
      <c r="C102" s="12" t="s">
        <v>163</v>
      </c>
      <c r="D102" s="19" t="b">
        <v>0</v>
      </c>
      <c r="E102" s="25"/>
      <c r="F102" s="26"/>
      <c r="G102" s="27"/>
      <c r="H102" s="19" t="b">
        <v>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62.25" customHeight="1">
      <c r="A103" s="10">
        <f>IFERROR(__xludf.DUMMYFUNCTION("""COMPUTED_VALUE"""),46556.0)</f>
        <v>46556</v>
      </c>
      <c r="B103" s="11" t="s">
        <v>47</v>
      </c>
      <c r="C103" s="12" t="s">
        <v>164</v>
      </c>
      <c r="D103" s="19" t="b">
        <v>0</v>
      </c>
      <c r="E103" s="25"/>
      <c r="F103" s="26"/>
      <c r="G103" s="27"/>
      <c r="H103" s="19" t="b"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62.25" customHeight="1">
      <c r="A104" s="10">
        <f>IFERROR(__xludf.DUMMYFUNCTION("""COMPUTED_VALUE"""),46559.0)</f>
        <v>46559</v>
      </c>
      <c r="B104" s="11" t="s">
        <v>41</v>
      </c>
      <c r="C104" s="12" t="s">
        <v>165</v>
      </c>
      <c r="D104" s="19" t="b">
        <v>0</v>
      </c>
      <c r="E104" s="25"/>
      <c r="F104" s="26"/>
      <c r="G104" s="27"/>
      <c r="H104" s="19" t="b">
        <v>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62.25" customHeight="1">
      <c r="A105" s="10">
        <f>IFERROR(__xludf.DUMMYFUNCTION("""COMPUTED_VALUE"""),46561.0)</f>
        <v>46561</v>
      </c>
      <c r="B105" s="11" t="s">
        <v>44</v>
      </c>
      <c r="C105" s="12" t="s">
        <v>166</v>
      </c>
      <c r="D105" s="19" t="b">
        <v>0</v>
      </c>
      <c r="E105" s="25"/>
      <c r="F105" s="26"/>
      <c r="G105" s="27"/>
      <c r="H105" s="19" t="b"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62.25" customHeight="1">
      <c r="A106" s="10">
        <f>IFERROR(__xludf.DUMMYFUNCTION("""COMPUTED_VALUE"""),46563.0)</f>
        <v>46563</v>
      </c>
      <c r="B106" s="11" t="s">
        <v>47</v>
      </c>
      <c r="C106" s="12" t="s">
        <v>167</v>
      </c>
      <c r="D106" s="19" t="b">
        <v>0</v>
      </c>
      <c r="E106" s="25"/>
      <c r="F106" s="26"/>
      <c r="G106" s="27"/>
      <c r="H106" s="19" t="b">
        <v>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62.25" customHeight="1">
      <c r="A107" s="10">
        <f>IFERROR(__xludf.DUMMYFUNCTION("""COMPUTED_VALUE"""),46566.0)</f>
        <v>46566</v>
      </c>
      <c r="B107" s="11" t="s">
        <v>41</v>
      </c>
      <c r="C107" s="12" t="s">
        <v>168</v>
      </c>
      <c r="D107" s="19" t="b">
        <v>0</v>
      </c>
      <c r="E107" s="25"/>
      <c r="F107" s="26"/>
      <c r="G107" s="27"/>
      <c r="H107" s="19" t="b">
        <v>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62.25" customHeight="1">
      <c r="A108" s="10">
        <f>IFERROR(__xludf.DUMMYFUNCTION("""COMPUTED_VALUE"""),46568.0)</f>
        <v>46568</v>
      </c>
      <c r="B108" s="11" t="s">
        <v>44</v>
      </c>
      <c r="C108" s="12" t="s">
        <v>169</v>
      </c>
      <c r="D108" s="19" t="b">
        <v>0</v>
      </c>
      <c r="E108" s="25"/>
      <c r="F108" s="26"/>
      <c r="G108" s="27"/>
      <c r="H108" s="19" t="b">
        <v>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62.25" customHeight="1">
      <c r="A109" s="10">
        <f>IFERROR(__xludf.DUMMYFUNCTION("""COMPUTED_VALUE"""),46570.0)</f>
        <v>46570</v>
      </c>
      <c r="B109" s="11" t="s">
        <v>47</v>
      </c>
      <c r="C109" s="12" t="s">
        <v>170</v>
      </c>
      <c r="D109" s="19" t="b">
        <v>0</v>
      </c>
      <c r="E109" s="25"/>
      <c r="F109" s="26"/>
      <c r="G109" s="27"/>
      <c r="H109" s="19" t="b">
        <v>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62.25" customHeight="1">
      <c r="A110" s="10">
        <f>IFERROR(__xludf.DUMMYFUNCTION("""COMPUTED_VALUE"""),46573.0)</f>
        <v>46573</v>
      </c>
      <c r="B110" s="11" t="s">
        <v>41</v>
      </c>
      <c r="C110" s="12" t="s">
        <v>171</v>
      </c>
      <c r="D110" s="19" t="b">
        <v>0</v>
      </c>
      <c r="E110" s="25"/>
      <c r="F110" s="26"/>
      <c r="G110" s="27"/>
      <c r="H110" s="19" t="b">
        <v>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62.25" customHeight="1">
      <c r="A111" s="10">
        <f>IFERROR(__xludf.DUMMYFUNCTION("""COMPUTED_VALUE"""),46575.0)</f>
        <v>46575</v>
      </c>
      <c r="B111" s="11" t="s">
        <v>44</v>
      </c>
      <c r="C111" s="12" t="s">
        <v>172</v>
      </c>
      <c r="D111" s="19" t="b">
        <v>0</v>
      </c>
      <c r="E111" s="25"/>
      <c r="F111" s="26"/>
      <c r="G111" s="27"/>
      <c r="H111" s="19" t="b">
        <v>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62.25" customHeight="1">
      <c r="A112" s="10">
        <f>IFERROR(__xludf.DUMMYFUNCTION("""COMPUTED_VALUE"""),46577.0)</f>
        <v>46577</v>
      </c>
      <c r="B112" s="11" t="s">
        <v>47</v>
      </c>
      <c r="C112" s="12" t="s">
        <v>173</v>
      </c>
      <c r="D112" s="19" t="b">
        <v>0</v>
      </c>
      <c r="E112" s="25"/>
      <c r="F112" s="26"/>
      <c r="G112" s="27"/>
      <c r="H112" s="19" t="b">
        <v>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62.25" customHeight="1">
      <c r="A113" s="10">
        <f>IFERROR(__xludf.DUMMYFUNCTION("""COMPUTED_VALUE"""),46580.0)</f>
        <v>46580</v>
      </c>
      <c r="B113" s="11" t="s">
        <v>41</v>
      </c>
      <c r="C113" s="12" t="s">
        <v>174</v>
      </c>
      <c r="D113" s="19" t="b">
        <v>0</v>
      </c>
      <c r="E113" s="25"/>
      <c r="F113" s="26"/>
      <c r="G113" s="27"/>
      <c r="H113" s="19" t="b">
        <v>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62.25" customHeight="1">
      <c r="A114" s="10">
        <f>IFERROR(__xludf.DUMMYFUNCTION("""COMPUTED_VALUE"""),46582.0)</f>
        <v>46582</v>
      </c>
      <c r="B114" s="11" t="s">
        <v>44</v>
      </c>
      <c r="C114" s="12" t="s">
        <v>175</v>
      </c>
      <c r="D114" s="19" t="b">
        <v>0</v>
      </c>
      <c r="E114" s="25"/>
      <c r="F114" s="26"/>
      <c r="G114" s="27"/>
      <c r="H114" s="19" t="b"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62.25" customHeight="1">
      <c r="A115" s="10">
        <f>IFERROR(__xludf.DUMMYFUNCTION("""COMPUTED_VALUE"""),46584.0)</f>
        <v>46584</v>
      </c>
      <c r="B115" s="11" t="s">
        <v>47</v>
      </c>
      <c r="C115" s="12" t="s">
        <v>176</v>
      </c>
      <c r="D115" s="19" t="b">
        <v>0</v>
      </c>
      <c r="E115" s="25"/>
      <c r="F115" s="26"/>
      <c r="G115" s="27"/>
      <c r="H115" s="19" t="b"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62.25" customHeight="1">
      <c r="A116" s="10">
        <f>IFERROR(__xludf.DUMMYFUNCTION("""COMPUTED_VALUE"""),46587.0)</f>
        <v>46587</v>
      </c>
      <c r="B116" s="11" t="s">
        <v>41</v>
      </c>
      <c r="C116" s="12" t="s">
        <v>177</v>
      </c>
      <c r="D116" s="19" t="b">
        <v>0</v>
      </c>
      <c r="E116" s="25"/>
      <c r="F116" s="26"/>
      <c r="G116" s="27"/>
      <c r="H116" s="19" t="b"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62.25" customHeight="1">
      <c r="A117" s="10">
        <f>IFERROR(__xludf.DUMMYFUNCTION("""COMPUTED_VALUE"""),46589.0)</f>
        <v>46589</v>
      </c>
      <c r="B117" s="11" t="s">
        <v>44</v>
      </c>
      <c r="C117" s="12" t="s">
        <v>178</v>
      </c>
      <c r="D117" s="19" t="b">
        <v>0</v>
      </c>
      <c r="E117" s="25"/>
      <c r="F117" s="26"/>
      <c r="G117" s="27"/>
      <c r="H117" s="19" t="b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62.25" customHeight="1">
      <c r="A118" s="10">
        <f>IFERROR(__xludf.DUMMYFUNCTION("""COMPUTED_VALUE"""),46591.0)</f>
        <v>46591</v>
      </c>
      <c r="B118" s="11" t="s">
        <v>47</v>
      </c>
      <c r="C118" s="12" t="s">
        <v>179</v>
      </c>
      <c r="D118" s="19" t="b">
        <v>0</v>
      </c>
      <c r="E118" s="25"/>
      <c r="F118" s="26"/>
      <c r="G118" s="27"/>
      <c r="H118" s="19" t="b">
        <v>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62.25" customHeight="1">
      <c r="A119" s="10">
        <f>IFERROR(__xludf.DUMMYFUNCTION("""COMPUTED_VALUE"""),46594.0)</f>
        <v>46594</v>
      </c>
      <c r="B119" s="11" t="s">
        <v>41</v>
      </c>
      <c r="C119" s="12" t="s">
        <v>180</v>
      </c>
      <c r="D119" s="19" t="b">
        <v>0</v>
      </c>
      <c r="E119" s="25"/>
      <c r="F119" s="26"/>
      <c r="G119" s="27"/>
      <c r="H119" s="19" t="b"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62.25" customHeight="1">
      <c r="A120" s="10">
        <f>IFERROR(__xludf.DUMMYFUNCTION("""COMPUTED_VALUE"""),46596.0)</f>
        <v>46596</v>
      </c>
      <c r="B120" s="11" t="s">
        <v>44</v>
      </c>
      <c r="C120" s="12" t="s">
        <v>181</v>
      </c>
      <c r="D120" s="19" t="b">
        <v>0</v>
      </c>
      <c r="E120" s="25"/>
      <c r="F120" s="26"/>
      <c r="G120" s="27"/>
      <c r="H120" s="19" t="b"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62.25" customHeight="1">
      <c r="A121" s="10">
        <f>IFERROR(__xludf.DUMMYFUNCTION("""COMPUTED_VALUE"""),46598.0)</f>
        <v>46598</v>
      </c>
      <c r="B121" s="11" t="s">
        <v>47</v>
      </c>
      <c r="C121" s="12" t="s">
        <v>182</v>
      </c>
      <c r="D121" s="19" t="b">
        <v>0</v>
      </c>
      <c r="E121" s="25"/>
      <c r="F121" s="26"/>
      <c r="G121" s="27"/>
      <c r="H121" s="19" t="b">
        <v>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62.25" customHeight="1">
      <c r="A122" s="10">
        <f>IFERROR(__xludf.DUMMYFUNCTION("""COMPUTED_VALUE"""),46601.0)</f>
        <v>46601</v>
      </c>
      <c r="B122" s="11" t="s">
        <v>41</v>
      </c>
      <c r="C122" s="12" t="s">
        <v>183</v>
      </c>
      <c r="D122" s="19" t="b">
        <v>0</v>
      </c>
      <c r="E122" s="25"/>
      <c r="F122" s="26"/>
      <c r="G122" s="27"/>
      <c r="H122" s="19" t="b">
        <v>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62.25" customHeight="1">
      <c r="A123" s="10">
        <f>IFERROR(__xludf.DUMMYFUNCTION("""COMPUTED_VALUE"""),46603.0)</f>
        <v>46603</v>
      </c>
      <c r="B123" s="11" t="s">
        <v>44</v>
      </c>
      <c r="C123" s="12" t="s">
        <v>184</v>
      </c>
      <c r="D123" s="19" t="b">
        <v>0</v>
      </c>
      <c r="E123" s="25"/>
      <c r="F123" s="26"/>
      <c r="G123" s="27"/>
      <c r="H123" s="19" t="b">
        <v>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62.25" customHeight="1">
      <c r="A124" s="10">
        <f>IFERROR(__xludf.DUMMYFUNCTION("""COMPUTED_VALUE"""),46605.0)</f>
        <v>46605</v>
      </c>
      <c r="B124" s="11" t="s">
        <v>47</v>
      </c>
      <c r="C124" s="12" t="s">
        <v>185</v>
      </c>
      <c r="D124" s="19" t="b">
        <v>0</v>
      </c>
      <c r="E124" s="25"/>
      <c r="F124" s="26"/>
      <c r="G124" s="27"/>
      <c r="H124" s="19" t="b"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62.25" customHeight="1">
      <c r="A125" s="10">
        <f>IFERROR(__xludf.DUMMYFUNCTION("""COMPUTED_VALUE"""),46608.0)</f>
        <v>46608</v>
      </c>
      <c r="B125" s="11" t="s">
        <v>41</v>
      </c>
      <c r="C125" s="12" t="s">
        <v>186</v>
      </c>
      <c r="D125" s="19" t="b">
        <v>0</v>
      </c>
      <c r="E125" s="25"/>
      <c r="F125" s="26"/>
      <c r="G125" s="27"/>
      <c r="H125" s="19" t="b">
        <v>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62.25" customHeight="1">
      <c r="A126" s="10">
        <f>IFERROR(__xludf.DUMMYFUNCTION("""COMPUTED_VALUE"""),46610.0)</f>
        <v>46610</v>
      </c>
      <c r="B126" s="11" t="s">
        <v>44</v>
      </c>
      <c r="C126" s="12" t="s">
        <v>187</v>
      </c>
      <c r="D126" s="19" t="b">
        <v>0</v>
      </c>
      <c r="E126" s="25"/>
      <c r="F126" s="26"/>
      <c r="G126" s="27"/>
      <c r="H126" s="19" t="b">
        <v>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62.25" customHeight="1">
      <c r="A127" s="10">
        <f>IFERROR(__xludf.DUMMYFUNCTION("""COMPUTED_VALUE"""),46612.0)</f>
        <v>46612</v>
      </c>
      <c r="B127" s="11" t="s">
        <v>47</v>
      </c>
      <c r="C127" s="12" t="s">
        <v>188</v>
      </c>
      <c r="D127" s="19" t="b">
        <v>0</v>
      </c>
      <c r="E127" s="25"/>
      <c r="F127" s="26"/>
      <c r="G127" s="27"/>
      <c r="H127" s="19" t="b">
        <v>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62.25" customHeight="1">
      <c r="A128" s="10">
        <f>IFERROR(__xludf.DUMMYFUNCTION("""COMPUTED_VALUE"""),46615.0)</f>
        <v>46615</v>
      </c>
      <c r="B128" s="11" t="s">
        <v>41</v>
      </c>
      <c r="C128" s="12" t="s">
        <v>189</v>
      </c>
      <c r="D128" s="19" t="b">
        <v>0</v>
      </c>
      <c r="E128" s="25"/>
      <c r="F128" s="26"/>
      <c r="G128" s="27"/>
      <c r="H128" s="19" t="b"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62.25" customHeight="1">
      <c r="A129" s="10">
        <f>IFERROR(__xludf.DUMMYFUNCTION("""COMPUTED_VALUE"""),46617.0)</f>
        <v>46617</v>
      </c>
      <c r="B129" s="11" t="s">
        <v>44</v>
      </c>
      <c r="C129" s="12" t="s">
        <v>190</v>
      </c>
      <c r="D129" s="19" t="b">
        <v>0</v>
      </c>
      <c r="E129" s="25"/>
      <c r="F129" s="26"/>
      <c r="G129" s="27"/>
      <c r="H129" s="19" t="b"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62.25" customHeight="1">
      <c r="A130" s="10">
        <f>IFERROR(__xludf.DUMMYFUNCTION("""COMPUTED_VALUE"""),46619.0)</f>
        <v>46619</v>
      </c>
      <c r="B130" s="11" t="s">
        <v>47</v>
      </c>
      <c r="C130" s="12" t="s">
        <v>191</v>
      </c>
      <c r="D130" s="19" t="b">
        <v>0</v>
      </c>
      <c r="E130" s="25"/>
      <c r="F130" s="26"/>
      <c r="G130" s="27"/>
      <c r="H130" s="19" t="b">
        <v>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62.25" customHeight="1">
      <c r="A131" s="10">
        <f>IFERROR(__xludf.DUMMYFUNCTION("""COMPUTED_VALUE"""),46622.0)</f>
        <v>46622</v>
      </c>
      <c r="B131" s="11" t="s">
        <v>41</v>
      </c>
      <c r="C131" s="12" t="s">
        <v>192</v>
      </c>
      <c r="D131" s="19" t="b">
        <v>0</v>
      </c>
      <c r="E131" s="25"/>
      <c r="F131" s="26"/>
      <c r="G131" s="27"/>
      <c r="H131" s="19" t="b">
        <v>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62.25" customHeight="1">
      <c r="A132" s="10">
        <f>IFERROR(__xludf.DUMMYFUNCTION("""COMPUTED_VALUE"""),46624.0)</f>
        <v>46624</v>
      </c>
      <c r="B132" s="11" t="s">
        <v>44</v>
      </c>
      <c r="C132" s="12" t="s">
        <v>193</v>
      </c>
      <c r="D132" s="19" t="b">
        <v>0</v>
      </c>
      <c r="E132" s="25"/>
      <c r="F132" s="26"/>
      <c r="G132" s="27"/>
      <c r="H132" s="19" t="b">
        <v>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62.25" customHeight="1">
      <c r="A133" s="10">
        <f>IFERROR(__xludf.DUMMYFUNCTION("""COMPUTED_VALUE"""),46626.0)</f>
        <v>46626</v>
      </c>
      <c r="B133" s="11" t="s">
        <v>47</v>
      </c>
      <c r="C133" s="12" t="s">
        <v>194</v>
      </c>
      <c r="D133" s="19" t="b">
        <v>0</v>
      </c>
      <c r="E133" s="25"/>
      <c r="F133" s="26"/>
      <c r="G133" s="27"/>
      <c r="H133" s="19" t="b">
        <v>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62.25" customHeight="1">
      <c r="A134" s="10">
        <f>IFERROR(__xludf.DUMMYFUNCTION("""COMPUTED_VALUE"""),46629.0)</f>
        <v>46629</v>
      </c>
      <c r="B134" s="11" t="s">
        <v>41</v>
      </c>
      <c r="C134" s="12" t="s">
        <v>195</v>
      </c>
      <c r="D134" s="19" t="b">
        <v>0</v>
      </c>
      <c r="E134" s="25"/>
      <c r="F134" s="26"/>
      <c r="G134" s="27"/>
      <c r="H134" s="19" t="b">
        <v>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62.25" customHeight="1">
      <c r="A135" s="10">
        <f>IFERROR(__xludf.DUMMYFUNCTION("""COMPUTED_VALUE"""),46631.0)</f>
        <v>46631</v>
      </c>
      <c r="B135" s="11" t="s">
        <v>44</v>
      </c>
      <c r="C135" s="12" t="s">
        <v>196</v>
      </c>
      <c r="D135" s="19" t="b">
        <v>0</v>
      </c>
      <c r="E135" s="25"/>
      <c r="F135" s="26"/>
      <c r="G135" s="27"/>
      <c r="H135" s="19" t="b">
        <v>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62.25" customHeight="1">
      <c r="A136" s="10">
        <f>IFERROR(__xludf.DUMMYFUNCTION("""COMPUTED_VALUE"""),46633.0)</f>
        <v>46633</v>
      </c>
      <c r="B136" s="11" t="s">
        <v>47</v>
      </c>
      <c r="C136" s="12" t="s">
        <v>197</v>
      </c>
      <c r="D136" s="19" t="b">
        <v>0</v>
      </c>
      <c r="E136" s="25"/>
      <c r="F136" s="26"/>
      <c r="G136" s="27"/>
      <c r="H136" s="19" t="b">
        <v>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62.25" customHeight="1">
      <c r="A137" s="10">
        <f>IFERROR(__xludf.DUMMYFUNCTION("""COMPUTED_VALUE"""),46636.0)</f>
        <v>46636</v>
      </c>
      <c r="B137" s="11" t="s">
        <v>41</v>
      </c>
      <c r="C137" s="12" t="s">
        <v>198</v>
      </c>
      <c r="D137" s="19" t="b">
        <v>0</v>
      </c>
      <c r="E137" s="25"/>
      <c r="F137" s="26"/>
      <c r="G137" s="27"/>
      <c r="H137" s="19" t="b"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62.25" customHeight="1">
      <c r="A138" s="10">
        <f>IFERROR(__xludf.DUMMYFUNCTION("""COMPUTED_VALUE"""),46638.0)</f>
        <v>46638</v>
      </c>
      <c r="B138" s="11" t="s">
        <v>44</v>
      </c>
      <c r="C138" s="12" t="s">
        <v>199</v>
      </c>
      <c r="D138" s="19" t="b">
        <v>0</v>
      </c>
      <c r="E138" s="25"/>
      <c r="F138" s="26"/>
      <c r="G138" s="27"/>
      <c r="H138" s="19" t="b">
        <v>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62.25" customHeight="1">
      <c r="A139" s="10">
        <f>IFERROR(__xludf.DUMMYFUNCTION("""COMPUTED_VALUE"""),46640.0)</f>
        <v>46640</v>
      </c>
      <c r="B139" s="11" t="s">
        <v>47</v>
      </c>
      <c r="C139" s="12" t="s">
        <v>200</v>
      </c>
      <c r="D139" s="19" t="b">
        <v>0</v>
      </c>
      <c r="E139" s="25"/>
      <c r="F139" s="26"/>
      <c r="G139" s="27"/>
      <c r="H139" s="19" t="b">
        <v>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62.25" customHeight="1">
      <c r="A140" s="10">
        <f>IFERROR(__xludf.DUMMYFUNCTION("""COMPUTED_VALUE"""),46643.0)</f>
        <v>46643</v>
      </c>
      <c r="B140" s="11" t="s">
        <v>41</v>
      </c>
      <c r="C140" s="12" t="s">
        <v>201</v>
      </c>
      <c r="D140" s="19" t="b">
        <v>0</v>
      </c>
      <c r="E140" s="25"/>
      <c r="F140" s="26"/>
      <c r="G140" s="27"/>
      <c r="H140" s="19" t="b">
        <v>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62.25" customHeight="1">
      <c r="A141" s="10">
        <f>IFERROR(__xludf.DUMMYFUNCTION("""COMPUTED_VALUE"""),46645.0)</f>
        <v>46645</v>
      </c>
      <c r="B141" s="11" t="s">
        <v>44</v>
      </c>
      <c r="C141" s="12" t="s">
        <v>202</v>
      </c>
      <c r="D141" s="19" t="b">
        <v>0</v>
      </c>
      <c r="E141" s="25"/>
      <c r="F141" s="26"/>
      <c r="G141" s="27"/>
      <c r="H141" s="19" t="b">
        <v>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62.25" customHeight="1">
      <c r="A142" s="10">
        <f>IFERROR(__xludf.DUMMYFUNCTION("""COMPUTED_VALUE"""),46647.0)</f>
        <v>46647</v>
      </c>
      <c r="B142" s="11" t="s">
        <v>47</v>
      </c>
      <c r="C142" s="12" t="s">
        <v>203</v>
      </c>
      <c r="D142" s="19" t="b">
        <v>0</v>
      </c>
      <c r="E142" s="25"/>
      <c r="F142" s="26"/>
      <c r="G142" s="27"/>
      <c r="H142" s="19" t="b">
        <v>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62.25" customHeight="1">
      <c r="A143" s="10">
        <f>IFERROR(__xludf.DUMMYFUNCTION("""COMPUTED_VALUE"""),46650.0)</f>
        <v>46650</v>
      </c>
      <c r="B143" s="11" t="s">
        <v>41</v>
      </c>
      <c r="C143" s="12" t="s">
        <v>204</v>
      </c>
      <c r="D143" s="19" t="b">
        <v>0</v>
      </c>
      <c r="E143" s="25"/>
      <c r="F143" s="26"/>
      <c r="G143" s="27"/>
      <c r="H143" s="19" t="b">
        <v>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62.25" customHeight="1">
      <c r="A144" s="10">
        <f>IFERROR(__xludf.DUMMYFUNCTION("""COMPUTED_VALUE"""),46652.0)</f>
        <v>46652</v>
      </c>
      <c r="B144" s="11" t="s">
        <v>44</v>
      </c>
      <c r="C144" s="12" t="s">
        <v>205</v>
      </c>
      <c r="D144" s="19" t="b">
        <v>0</v>
      </c>
      <c r="E144" s="25"/>
      <c r="F144" s="26"/>
      <c r="G144" s="27"/>
      <c r="H144" s="19" t="b">
        <v>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62.25" customHeight="1">
      <c r="A145" s="10">
        <f>IFERROR(__xludf.DUMMYFUNCTION("""COMPUTED_VALUE"""),46654.0)</f>
        <v>46654</v>
      </c>
      <c r="B145" s="11" t="s">
        <v>47</v>
      </c>
      <c r="C145" s="12" t="s">
        <v>206</v>
      </c>
      <c r="D145" s="19" t="b">
        <v>0</v>
      </c>
      <c r="E145" s="25"/>
      <c r="F145" s="26"/>
      <c r="G145" s="27"/>
      <c r="H145" s="19" t="b">
        <v>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62.25" customHeight="1">
      <c r="A146" s="10">
        <f>IFERROR(__xludf.DUMMYFUNCTION("""COMPUTED_VALUE"""),46657.0)</f>
        <v>46657</v>
      </c>
      <c r="B146" s="11" t="s">
        <v>41</v>
      </c>
      <c r="C146" s="12" t="s">
        <v>207</v>
      </c>
      <c r="D146" s="19" t="b">
        <v>0</v>
      </c>
      <c r="E146" s="25"/>
      <c r="F146" s="26"/>
      <c r="G146" s="27"/>
      <c r="H146" s="19" t="b">
        <v>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62.25" customHeight="1">
      <c r="A147" s="10">
        <f>IFERROR(__xludf.DUMMYFUNCTION("""COMPUTED_VALUE"""),46659.0)</f>
        <v>46659</v>
      </c>
      <c r="B147" s="11" t="s">
        <v>44</v>
      </c>
      <c r="C147" s="12" t="s">
        <v>208</v>
      </c>
      <c r="D147" s="19" t="b">
        <v>0</v>
      </c>
      <c r="E147" s="25"/>
      <c r="F147" s="26"/>
      <c r="G147" s="27"/>
      <c r="H147" s="19" t="b">
        <v>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62.25" customHeight="1">
      <c r="A148" s="10">
        <f>IFERROR(__xludf.DUMMYFUNCTION("""COMPUTED_VALUE"""),46661.0)</f>
        <v>46661</v>
      </c>
      <c r="B148" s="11" t="s">
        <v>47</v>
      </c>
      <c r="C148" s="12" t="s">
        <v>209</v>
      </c>
      <c r="D148" s="19" t="b">
        <v>0</v>
      </c>
      <c r="E148" s="25"/>
      <c r="F148" s="26"/>
      <c r="G148" s="27"/>
      <c r="H148" s="19" t="b">
        <v>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62.25" customHeight="1">
      <c r="A149" s="10">
        <f>IFERROR(__xludf.DUMMYFUNCTION("""COMPUTED_VALUE"""),46664.0)</f>
        <v>46664</v>
      </c>
      <c r="B149" s="11" t="s">
        <v>41</v>
      </c>
      <c r="C149" s="12" t="s">
        <v>210</v>
      </c>
      <c r="D149" s="19" t="b">
        <v>0</v>
      </c>
      <c r="E149" s="25"/>
      <c r="F149" s="26"/>
      <c r="G149" s="27"/>
      <c r="H149" s="19" t="b">
        <v>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62.25" customHeight="1">
      <c r="A150" s="10">
        <f>IFERROR(__xludf.DUMMYFUNCTION("""COMPUTED_VALUE"""),46666.0)</f>
        <v>46666</v>
      </c>
      <c r="B150" s="11" t="s">
        <v>44</v>
      </c>
      <c r="C150" s="12" t="s">
        <v>211</v>
      </c>
      <c r="D150" s="19" t="b">
        <v>0</v>
      </c>
      <c r="E150" s="25"/>
      <c r="F150" s="26"/>
      <c r="G150" s="27"/>
      <c r="H150" s="19" t="b">
        <v>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62.25" customHeight="1">
      <c r="A151" s="10">
        <f>IFERROR(__xludf.DUMMYFUNCTION("""COMPUTED_VALUE"""),46668.0)</f>
        <v>46668</v>
      </c>
      <c r="B151" s="11" t="s">
        <v>47</v>
      </c>
      <c r="C151" s="12" t="s">
        <v>212</v>
      </c>
      <c r="D151" s="19" t="b">
        <v>0</v>
      </c>
      <c r="E151" s="25"/>
      <c r="F151" s="26"/>
      <c r="G151" s="27"/>
      <c r="H151" s="19" t="b">
        <v>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62.25" customHeight="1">
      <c r="A152" s="10">
        <f>IFERROR(__xludf.DUMMYFUNCTION("""COMPUTED_VALUE"""),46671.0)</f>
        <v>46671</v>
      </c>
      <c r="B152" s="11" t="s">
        <v>41</v>
      </c>
      <c r="C152" s="12" t="s">
        <v>213</v>
      </c>
      <c r="D152" s="19" t="b">
        <v>0</v>
      </c>
      <c r="E152" s="25"/>
      <c r="F152" s="26"/>
      <c r="G152" s="27"/>
      <c r="H152" s="19" t="b">
        <v>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62.25" customHeight="1">
      <c r="A153" s="10">
        <f>IFERROR(__xludf.DUMMYFUNCTION("""COMPUTED_VALUE"""),46673.0)</f>
        <v>46673</v>
      </c>
      <c r="B153" s="11" t="s">
        <v>44</v>
      </c>
      <c r="C153" s="12" t="s">
        <v>214</v>
      </c>
      <c r="D153" s="19" t="b">
        <v>0</v>
      </c>
      <c r="E153" s="25"/>
      <c r="F153" s="26"/>
      <c r="G153" s="27"/>
      <c r="H153" s="19" t="b">
        <v>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62.25" customHeight="1">
      <c r="A154" s="10">
        <f>IFERROR(__xludf.DUMMYFUNCTION("""COMPUTED_VALUE"""),46675.0)</f>
        <v>46675</v>
      </c>
      <c r="B154" s="11" t="s">
        <v>47</v>
      </c>
      <c r="C154" s="12" t="s">
        <v>215</v>
      </c>
      <c r="D154" s="19" t="b">
        <v>0</v>
      </c>
      <c r="E154" s="25"/>
      <c r="F154" s="26"/>
      <c r="G154" s="27"/>
      <c r="H154" s="19" t="b">
        <v>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62.25" customHeight="1">
      <c r="A155" s="10">
        <f>IFERROR(__xludf.DUMMYFUNCTION("""COMPUTED_VALUE"""),46678.0)</f>
        <v>46678</v>
      </c>
      <c r="B155" s="11" t="s">
        <v>41</v>
      </c>
      <c r="C155" s="12" t="s">
        <v>216</v>
      </c>
      <c r="D155" s="19" t="b">
        <v>0</v>
      </c>
      <c r="E155" s="25"/>
      <c r="F155" s="26"/>
      <c r="G155" s="27"/>
      <c r="H155" s="19" t="b">
        <v>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62.25" customHeight="1">
      <c r="A156" s="10">
        <f>IFERROR(__xludf.DUMMYFUNCTION("""COMPUTED_VALUE"""),46680.0)</f>
        <v>46680</v>
      </c>
      <c r="B156" s="11" t="s">
        <v>44</v>
      </c>
      <c r="C156" s="12" t="s">
        <v>217</v>
      </c>
      <c r="D156" s="19" t="b">
        <v>0</v>
      </c>
      <c r="E156" s="25"/>
      <c r="F156" s="26"/>
      <c r="G156" s="27"/>
      <c r="H156" s="19" t="b">
        <v>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62.25" customHeight="1">
      <c r="A157" s="10">
        <f>IFERROR(__xludf.DUMMYFUNCTION("""COMPUTED_VALUE"""),46682.0)</f>
        <v>46682</v>
      </c>
      <c r="B157" s="11" t="s">
        <v>47</v>
      </c>
      <c r="C157" s="12" t="s">
        <v>218</v>
      </c>
      <c r="D157" s="19" t="b">
        <v>0</v>
      </c>
      <c r="E157" s="25"/>
      <c r="F157" s="26"/>
      <c r="G157" s="27"/>
      <c r="H157" s="19" t="b">
        <v>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62.25" customHeight="1">
      <c r="A158" s="10"/>
      <c r="B158" s="11" t="s">
        <v>41</v>
      </c>
      <c r="C158" s="12" t="s">
        <v>219</v>
      </c>
      <c r="D158" s="19" t="b">
        <v>0</v>
      </c>
      <c r="E158" s="25"/>
      <c r="F158" s="26"/>
      <c r="G158" s="27"/>
      <c r="H158" s="19" t="b">
        <v>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62.25" customHeight="1">
      <c r="A159" s="10"/>
      <c r="B159" s="11" t="s">
        <v>44</v>
      </c>
      <c r="C159" s="12" t="s">
        <v>220</v>
      </c>
      <c r="D159" s="19" t="b">
        <v>0</v>
      </c>
      <c r="E159" s="25"/>
      <c r="F159" s="26"/>
      <c r="G159" s="27"/>
      <c r="H159" s="19" t="b">
        <v>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62.25" customHeight="1">
      <c r="A160" s="10"/>
      <c r="B160" s="11" t="s">
        <v>47</v>
      </c>
      <c r="C160" s="12" t="s">
        <v>221</v>
      </c>
      <c r="D160" s="19" t="b">
        <v>0</v>
      </c>
      <c r="E160" s="25"/>
      <c r="F160" s="26"/>
      <c r="G160" s="27"/>
      <c r="H160" s="19" t="b">
        <v>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</sheetData>
  <conditionalFormatting sqref="A2:A160 J2">
    <cfRule type="expression" dxfId="5" priority="1">
      <formula>$C2=TRUE</formula>
    </cfRule>
  </conditionalFormatting>
  <conditionalFormatting sqref="E2:G160">
    <cfRule type="expression" dxfId="6" priority="2">
      <formula>$H2=TRUE</formula>
    </cfRule>
  </conditionalFormatting>
  <conditionalFormatting sqref="A2:C160">
    <cfRule type="expression" dxfId="6" priority="3">
      <formula>$D2=TRUE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</hyperlinks>
  <drawing r:id="rId160"/>
  <tableParts count="1">
    <tablePart r:id="rId1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7.63"/>
    <col customWidth="1" min="3" max="3" width="13.88"/>
    <col customWidth="1" min="4" max="4" width="11.5"/>
    <col customWidth="1" min="5" max="5" width="10.75"/>
    <col customWidth="1" min="6" max="6" width="11.0"/>
    <col customWidth="1" min="7" max="26" width="27.0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6</v>
      </c>
      <c r="B2" s="3" t="s">
        <v>7</v>
      </c>
      <c r="C2" s="4">
        <v>500.0</v>
      </c>
      <c r="D2" s="4" t="s">
        <v>8</v>
      </c>
      <c r="E2" s="4" t="s">
        <v>8</v>
      </c>
      <c r="F2" s="4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3" t="s">
        <v>10</v>
      </c>
      <c r="B3" s="3" t="s">
        <v>11</v>
      </c>
      <c r="C3" s="4">
        <v>600.0</v>
      </c>
      <c r="D3" s="4" t="s">
        <v>12</v>
      </c>
      <c r="E3" s="4" t="s">
        <v>13</v>
      </c>
      <c r="F3" s="4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3" t="s">
        <v>14</v>
      </c>
      <c r="B4" s="3" t="s">
        <v>15</v>
      </c>
      <c r="C4" s="4">
        <v>300.0</v>
      </c>
      <c r="D4" s="4" t="s">
        <v>16</v>
      </c>
      <c r="E4" s="4" t="s">
        <v>17</v>
      </c>
      <c r="F4" s="4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3" t="s">
        <v>19</v>
      </c>
      <c r="B5" s="3" t="s">
        <v>20</v>
      </c>
      <c r="C5" s="4">
        <v>600.0</v>
      </c>
      <c r="D5" s="4" t="s">
        <v>21</v>
      </c>
      <c r="E5" s="4" t="s">
        <v>22</v>
      </c>
      <c r="F5" s="4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3" t="s">
        <v>24</v>
      </c>
      <c r="B6" s="3" t="s">
        <v>25</v>
      </c>
      <c r="C6" s="4">
        <v>300.0</v>
      </c>
      <c r="D6" s="4" t="s">
        <v>22</v>
      </c>
      <c r="E6" s="4" t="s">
        <v>16</v>
      </c>
      <c r="F6" s="4" t="s">
        <v>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5" t="s">
        <v>27</v>
      </c>
      <c r="B7" s="6"/>
      <c r="C7" s="5" t="s">
        <v>28</v>
      </c>
      <c r="D7" s="5" t="s">
        <v>29</v>
      </c>
      <c r="E7" s="5" t="s">
        <v>30</v>
      </c>
      <c r="F7" s="5" t="s">
        <v>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7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7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7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7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7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7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7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7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7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7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7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7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7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7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7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7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7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7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7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7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7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7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7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7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7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7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7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7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7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7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7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7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7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7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7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7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7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7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7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7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7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7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7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7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7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7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7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7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7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7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7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7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7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7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7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7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7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7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7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7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7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7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7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7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7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7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7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7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7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7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7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7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7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7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7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7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7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7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7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7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7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7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7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7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7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7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7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7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7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7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7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7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7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7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7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7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7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7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7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7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7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7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7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7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7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7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7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7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7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7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7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7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7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7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7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7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7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7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7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7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7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7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7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7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7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7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7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7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7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7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7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7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7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7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7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7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7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7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7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7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7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7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7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7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7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7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7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7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7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7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7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7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7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7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7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7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7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7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7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7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7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7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7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7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7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7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7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7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7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7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7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7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7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7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7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7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7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7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7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7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7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7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7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7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7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7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7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7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7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7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7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7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7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7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7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7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7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7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7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7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7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7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7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7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7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7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7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7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7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7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7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7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7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7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7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7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7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7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7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7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7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7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7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7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7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7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7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7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7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7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7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7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7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7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7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7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7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7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7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7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7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7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7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7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7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7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7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7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7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7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7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7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7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7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7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7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7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7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7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7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7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7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7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7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7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7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7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7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7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7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7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7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7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7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7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7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7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7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7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7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7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7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7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7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7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7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7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7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7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7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7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7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7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7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7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7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7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7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7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7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7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7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7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7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7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7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7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7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7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7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7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7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7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7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7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7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7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7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7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7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7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7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7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7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7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7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7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7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7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7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7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7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7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7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7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7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7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7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7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7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7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7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7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7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7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7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7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7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7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7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7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7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7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7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7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7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7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7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7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7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7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7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7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7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7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7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7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7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7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7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7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7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7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7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7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7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7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7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7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7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7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7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7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7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7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7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7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7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7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7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7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7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7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7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7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7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7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7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7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7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7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7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7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7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7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7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7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7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7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7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7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7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7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7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7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7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7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7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7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7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7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7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7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7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7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7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7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7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7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7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7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7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7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7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7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7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7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7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7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7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7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7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7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7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7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7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7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7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7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7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7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7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7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7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7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7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7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7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7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7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7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7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7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7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7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7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7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7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7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7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7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7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7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7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7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7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7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7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7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7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7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7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7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7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7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7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7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7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7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7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7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7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7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7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7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7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7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7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7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7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7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7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7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7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7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7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7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7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7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7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7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7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7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7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7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7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7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7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7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7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7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7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7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7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7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7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7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7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7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7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7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7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7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7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7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7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7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7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7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7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7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7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7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7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7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7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7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7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7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7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7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7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7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7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7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7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7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7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7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7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7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7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7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7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7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7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7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7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7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7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7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7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7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7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7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7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7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7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7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7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7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7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7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7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7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7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7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7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7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7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7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7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7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7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7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7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7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7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7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7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7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7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7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7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7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7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7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7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7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7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7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7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7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7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7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7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7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7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7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7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7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7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7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7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7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7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7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7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7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7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7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7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7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7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7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7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7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7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7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7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7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7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7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7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7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7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7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7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7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7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7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7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7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7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7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7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7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7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7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7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7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7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7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7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7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7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7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7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7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7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7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7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7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7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7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7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7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7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7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7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7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7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7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7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7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7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7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7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7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7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7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7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7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7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7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7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7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7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7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7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7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7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7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7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7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7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7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7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7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7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7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7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7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7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7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7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7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7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7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7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7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7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7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7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7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7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7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7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7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7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7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7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7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7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7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7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7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7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7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7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7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7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7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7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7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7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7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7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7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7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7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7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7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7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7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7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7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7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7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7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7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7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7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7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7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7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7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7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7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7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7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7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7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7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7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7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7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7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7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7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7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7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7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7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7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7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7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7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7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7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7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7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7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7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7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7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7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7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7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7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7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7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7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7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7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7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7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7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7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7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7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7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7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7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7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7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7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7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7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7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7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7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7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7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7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7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7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7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7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7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7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7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7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7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7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7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7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7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7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7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7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7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7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7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7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7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7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7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7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7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7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7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7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7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